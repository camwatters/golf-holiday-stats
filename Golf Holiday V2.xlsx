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Holidays" sheetId="2" r:id="rId6"/>
    <sheet state="visible" name="Matchdays" sheetId="3" r:id="rId7"/>
    <sheet state="visible" name="Matches" sheetId="4" r:id="rId8"/>
    <sheet state="visible" name="Players" sheetId="5" r:id="rId9"/>
    <sheet state="visible" name="Green Jackets" sheetId="6" r:id="rId10"/>
    <sheet state="visible" name="Sheet10" sheetId="7" r:id="rId11"/>
  </sheets>
  <definedNames>
    <definedName hidden="1" localSheetId="3" name="_xlnm._FilterDatabase">Matches!$A$1:$AF$56</definedName>
  </definedNames>
  <calcPr/>
</workbook>
</file>

<file path=xl/sharedStrings.xml><?xml version="1.0" encoding="utf-8"?>
<sst xmlns="http://schemas.openxmlformats.org/spreadsheetml/2006/main" count="826" uniqueCount="200">
  <si>
    <t>Game Type by team results</t>
  </si>
  <si>
    <t>holiday_id</t>
  </si>
  <si>
    <t>Country</t>
  </si>
  <si>
    <t>Area</t>
  </si>
  <si>
    <t>team_1</t>
  </si>
  <si>
    <t>team_2</t>
  </si>
  <si>
    <t>team_1_captain</t>
  </si>
  <si>
    <t>team_2_captain</t>
  </si>
  <si>
    <t>long_drive</t>
  </si>
  <si>
    <t>nearest_pin</t>
  </si>
  <si>
    <t>Portugal</t>
  </si>
  <si>
    <t>Amendoeira</t>
  </si>
  <si>
    <t>Europe</t>
  </si>
  <si>
    <t>USA</t>
  </si>
  <si>
    <t>Watters</t>
  </si>
  <si>
    <t>J. Witt</t>
  </si>
  <si>
    <t>O'Rourke</t>
  </si>
  <si>
    <t>Spain</t>
  </si>
  <si>
    <t>Murcia</t>
  </si>
  <si>
    <t>D. Witt</t>
  </si>
  <si>
    <t>McLachlan</t>
  </si>
  <si>
    <t>Malaga</t>
  </si>
  <si>
    <t>Lowy</t>
  </si>
  <si>
    <t>Cranham</t>
  </si>
  <si>
    <t>Turkey</t>
  </si>
  <si>
    <t>Belek</t>
  </si>
  <si>
    <t>James</t>
  </si>
  <si>
    <t>Condon</t>
  </si>
  <si>
    <t>event_id</t>
  </si>
  <si>
    <t>Date</t>
  </si>
  <si>
    <t>Course</t>
  </si>
  <si>
    <t>Format</t>
  </si>
  <si>
    <t>DOTD</t>
  </si>
  <si>
    <t>Description</t>
  </si>
  <si>
    <t>Faldo</t>
  </si>
  <si>
    <t>Texas Scramble</t>
  </si>
  <si>
    <t>Copying AJ smashing the ball into a tree and it going backwards</t>
  </si>
  <si>
    <t>O'Connor</t>
  </si>
  <si>
    <t>Fourball</t>
  </si>
  <si>
    <t>Driving the ball at the buggie in front</t>
  </si>
  <si>
    <t>Singles</t>
  </si>
  <si>
    <t>Kingpin</t>
  </si>
  <si>
    <t>Getting incredibly sunburnt and hiding in the bushes on the 18th</t>
  </si>
  <si>
    <t>Rogers</t>
  </si>
  <si>
    <t>Missing the ball on the first in front of everyone</t>
  </si>
  <si>
    <t>Scorecard fuck up</t>
  </si>
  <si>
    <t>Hacienda del Almo</t>
  </si>
  <si>
    <t>2x2 Scramble</t>
  </si>
  <si>
    <t>S. Barker</t>
  </si>
  <si>
    <t>Throwing up off the apartment balconies</t>
  </si>
  <si>
    <t>Pissing on the course</t>
  </si>
  <si>
    <t>Saurines</t>
  </si>
  <si>
    <t>Letting Cal win a hole with an 8</t>
  </si>
  <si>
    <t>Green Jacket</t>
  </si>
  <si>
    <t>C. Peters</t>
  </si>
  <si>
    <t>Running over Cranham in the buggie</t>
  </si>
  <si>
    <t>Miguel Angel Jimenez Academy</t>
  </si>
  <si>
    <t>Pissing on the course in a well</t>
  </si>
  <si>
    <t>Calanova</t>
  </si>
  <si>
    <t>Being sick on the course</t>
  </si>
  <si>
    <t>El Chaparral</t>
  </si>
  <si>
    <t>Missing tee shot again</t>
  </si>
  <si>
    <t>Marbella</t>
  </si>
  <si>
    <t>Brown</t>
  </si>
  <si>
    <t>Shaking the tree</t>
  </si>
  <si>
    <t>La Cala (Asia)</t>
  </si>
  <si>
    <t>Chair in sea, hit house</t>
  </si>
  <si>
    <t>Kaya Belek</t>
  </si>
  <si>
    <t>Smashing everything on the table</t>
  </si>
  <si>
    <t>Carya</t>
  </si>
  <si>
    <t>Mulligan</t>
  </si>
  <si>
    <t>Javelining club down the fairway and forgetting about it with it stuck in the ground</t>
  </si>
  <si>
    <t>Montgomerie</t>
  </si>
  <si>
    <t>Disobeying cabbie</t>
  </si>
  <si>
    <t>match_id</t>
  </si>
  <si>
    <t>player_a</t>
  </si>
  <si>
    <t>player_b</t>
  </si>
  <si>
    <t>player_c</t>
  </si>
  <si>
    <t>player_d</t>
  </si>
  <si>
    <t>team_a</t>
  </si>
  <si>
    <t>team_b</t>
  </si>
  <si>
    <t>team_c</t>
  </si>
  <si>
    <t>team_d</t>
  </si>
  <si>
    <t>Result</t>
  </si>
  <si>
    <t>Score</t>
  </si>
  <si>
    <t>captain_europe</t>
  </si>
  <si>
    <t>captain_usa</t>
  </si>
  <si>
    <t>points_a</t>
  </si>
  <si>
    <t>points_b</t>
  </si>
  <si>
    <t>points_c</t>
  </si>
  <si>
    <t>points_d</t>
  </si>
  <si>
    <t>chip_in_a</t>
  </si>
  <si>
    <t>chip_in_b</t>
  </si>
  <si>
    <t>chip_in_c</t>
  </si>
  <si>
    <t>chip_in_d</t>
  </si>
  <si>
    <t>birdie_a</t>
  </si>
  <si>
    <t>birdie_b</t>
  </si>
  <si>
    <t>birdie_c</t>
  </si>
  <si>
    <t>birdie_d</t>
  </si>
  <si>
    <t>4&amp;3</t>
  </si>
  <si>
    <t>3&amp;2</t>
  </si>
  <si>
    <t/>
  </si>
  <si>
    <t>5&amp;3</t>
  </si>
  <si>
    <t>5.5-7</t>
  </si>
  <si>
    <t>7&amp;5</t>
  </si>
  <si>
    <t>2&amp;1</t>
  </si>
  <si>
    <t>2UP</t>
  </si>
  <si>
    <t>Tie</t>
  </si>
  <si>
    <t>A/S</t>
  </si>
  <si>
    <t>6&amp;4</t>
  </si>
  <si>
    <t>1UP</t>
  </si>
  <si>
    <t>5&amp;4</t>
  </si>
  <si>
    <t>4&amp;2</t>
  </si>
  <si>
    <t>J. Barker</t>
  </si>
  <si>
    <t>3&amp;1</t>
  </si>
  <si>
    <t>6&amp;5</t>
  </si>
  <si>
    <t>player_id</t>
  </si>
  <si>
    <t>name</t>
  </si>
  <si>
    <t>first_name</t>
  </si>
  <si>
    <t>last_name</t>
  </si>
  <si>
    <t>attending</t>
  </si>
  <si>
    <t>handicap_1</t>
  </si>
  <si>
    <t>handicap_2</t>
  </si>
  <si>
    <t>handicap_3</t>
  </si>
  <si>
    <t>handicap_4</t>
  </si>
  <si>
    <t>Witt</t>
  </si>
  <si>
    <t>Cameron</t>
  </si>
  <si>
    <t>Daniel</t>
  </si>
  <si>
    <t>Gregory</t>
  </si>
  <si>
    <t>Alexander</t>
  </si>
  <si>
    <t>Simon</t>
  </si>
  <si>
    <t>Barker</t>
  </si>
  <si>
    <t>Michael</t>
  </si>
  <si>
    <t>Callum</t>
  </si>
  <si>
    <t>Peters</t>
  </si>
  <si>
    <t>Joel</t>
  </si>
  <si>
    <t>Jack</t>
  </si>
  <si>
    <t>Thomas</t>
  </si>
  <si>
    <t>Charlton</t>
  </si>
  <si>
    <t>Skeet</t>
  </si>
  <si>
    <t>Harvey</t>
  </si>
  <si>
    <t>K. Peters</t>
  </si>
  <si>
    <t>Kieran</t>
  </si>
  <si>
    <t>Champion</t>
  </si>
  <si>
    <t>Ollie</t>
  </si>
  <si>
    <t>date</t>
  </si>
  <si>
    <t>country</t>
  </si>
  <si>
    <t>area</t>
  </si>
  <si>
    <t>course</t>
  </si>
  <si>
    <t>player</t>
  </si>
  <si>
    <t>rank</t>
  </si>
  <si>
    <t>score</t>
  </si>
  <si>
    <t>chip_ins</t>
  </si>
  <si>
    <t>birdies</t>
  </si>
  <si>
    <t>Cup-tied</t>
  </si>
  <si>
    <t>Unknown</t>
  </si>
  <si>
    <t>DNS</t>
  </si>
  <si>
    <t>Player</t>
  </si>
  <si>
    <t>Apps</t>
  </si>
  <si>
    <t>Total Pts</t>
  </si>
  <si>
    <t>PPG</t>
  </si>
  <si>
    <t>T Scramble Record</t>
  </si>
  <si>
    <t>Pairs Record</t>
  </si>
  <si>
    <t>Singles Record</t>
  </si>
  <si>
    <t>Birdies</t>
  </si>
  <si>
    <t>Eagles</t>
  </si>
  <si>
    <t>Chip-Ins</t>
  </si>
  <si>
    <t>Long Drive</t>
  </si>
  <si>
    <t>Near Pin</t>
  </si>
  <si>
    <t>0/0/0/2</t>
  </si>
  <si>
    <t>4/2 (0 ties)</t>
  </si>
  <si>
    <t>4/1 (0 ties)</t>
  </si>
  <si>
    <t>0/0</t>
  </si>
  <si>
    <t>0/1/1/0</t>
  </si>
  <si>
    <t>3/3 (1 ties)</t>
  </si>
  <si>
    <t>3/0 (1 ties)</t>
  </si>
  <si>
    <t>1/0/0/1</t>
  </si>
  <si>
    <t>4/3 (0 ties)</t>
  </si>
  <si>
    <t>2/1 (1 ties)</t>
  </si>
  <si>
    <t>1/1/0/0</t>
  </si>
  <si>
    <t>3/2 (1 ties)</t>
  </si>
  <si>
    <t>2/2 (1 ties)</t>
  </si>
  <si>
    <t>J.Witt</t>
  </si>
  <si>
    <t>1/0</t>
  </si>
  <si>
    <t>5/1 (0 ties)</t>
  </si>
  <si>
    <t>1/3 (0 ties)</t>
  </si>
  <si>
    <t>0/1</t>
  </si>
  <si>
    <t>2/0/0/0</t>
  </si>
  <si>
    <t>3/5 (0 ties)</t>
  </si>
  <si>
    <t>1/2 (1 ties)</t>
  </si>
  <si>
    <t>1/3 (1 ties)</t>
  </si>
  <si>
    <t>2/2 (0 ties)</t>
  </si>
  <si>
    <t>D.Witt</t>
  </si>
  <si>
    <t>2/5 (0 ties)</t>
  </si>
  <si>
    <t>2/1 (0 ties)</t>
  </si>
  <si>
    <t>0/2 (0 ties)</t>
  </si>
  <si>
    <t>0/0/0/0</t>
  </si>
  <si>
    <t>1/1 (0 ties)</t>
  </si>
  <si>
    <t>1/0 (0 ties)</t>
  </si>
  <si>
    <t>0/1 (0 ties)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</si>
</sst>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"/>
    <numFmt numFmtId="165" formatCode="+0"/>
    <numFmt numFmtId="166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/>
    </xf>
    <xf borderId="0" fillId="0" fontId="1" numFmtId="164" xfId="0" applyFont="1" applyNumberForma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15</v>
      </c>
    </row>
    <row r="3">
      <c r="A3" s="1">
        <v>2.0</v>
      </c>
      <c r="B3" s="1" t="s">
        <v>17</v>
      </c>
      <c r="C3" s="1" t="s">
        <v>18</v>
      </c>
      <c r="D3" s="1" t="s">
        <v>12</v>
      </c>
      <c r="E3" s="1" t="s">
        <v>13</v>
      </c>
      <c r="F3" s="1" t="s">
        <v>19</v>
      </c>
      <c r="G3" s="1" t="s">
        <v>20</v>
      </c>
      <c r="H3" s="1" t="s">
        <v>16</v>
      </c>
      <c r="I3" s="1" t="s">
        <v>16</v>
      </c>
    </row>
    <row r="4">
      <c r="A4" s="1">
        <v>3.0</v>
      </c>
      <c r="B4" s="1" t="s">
        <v>17</v>
      </c>
      <c r="C4" s="1" t="s">
        <v>21</v>
      </c>
      <c r="D4" s="1" t="s">
        <v>12</v>
      </c>
      <c r="E4" s="1" t="s">
        <v>13</v>
      </c>
      <c r="F4" s="1" t="s">
        <v>16</v>
      </c>
      <c r="G4" s="1" t="s">
        <v>22</v>
      </c>
      <c r="H4" s="1" t="s">
        <v>23</v>
      </c>
      <c r="I4" s="1" t="s">
        <v>23</v>
      </c>
    </row>
    <row r="5">
      <c r="A5" s="1">
        <v>4.0</v>
      </c>
      <c r="B5" s="1" t="s">
        <v>24</v>
      </c>
      <c r="C5" s="1" t="s">
        <v>25</v>
      </c>
      <c r="D5" s="1" t="s">
        <v>12</v>
      </c>
      <c r="E5" s="1" t="s">
        <v>13</v>
      </c>
      <c r="F5" s="1" t="s">
        <v>23</v>
      </c>
      <c r="G5" s="1" t="s">
        <v>26</v>
      </c>
      <c r="H5" s="1" t="s">
        <v>27</v>
      </c>
      <c r="I5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7" max="7" width="18.88"/>
  </cols>
  <sheetData>
    <row r="1">
      <c r="A1" s="2" t="s">
        <v>28</v>
      </c>
      <c r="B1" s="2" t="s">
        <v>1</v>
      </c>
      <c r="C1" s="3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>
        <v>1.0</v>
      </c>
      <c r="B2" s="1">
        <v>1.0</v>
      </c>
      <c r="C2" s="5">
        <v>44707.0</v>
      </c>
      <c r="D2" s="1" t="s">
        <v>34</v>
      </c>
      <c r="E2" s="1" t="s">
        <v>35</v>
      </c>
      <c r="F2" s="6" t="s">
        <v>20</v>
      </c>
      <c r="G2" s="7" t="s">
        <v>36</v>
      </c>
      <c r="K2" s="2"/>
      <c r="L2" s="2"/>
      <c r="M2" s="2"/>
      <c r="N2" s="2"/>
    </row>
    <row r="3">
      <c r="A3" s="1">
        <v>2.0</v>
      </c>
      <c r="B3" s="1">
        <v>1.0</v>
      </c>
      <c r="C3" s="5">
        <v>44708.0</v>
      </c>
      <c r="D3" s="1" t="s">
        <v>37</v>
      </c>
      <c r="E3" s="1" t="s">
        <v>38</v>
      </c>
      <c r="F3" s="6" t="s">
        <v>27</v>
      </c>
      <c r="G3" s="7" t="s">
        <v>39</v>
      </c>
      <c r="I3" s="8"/>
      <c r="J3" s="8"/>
      <c r="K3" s="9"/>
      <c r="L3" s="9"/>
      <c r="M3" s="9"/>
      <c r="N3" s="9"/>
    </row>
    <row r="4">
      <c r="A4" s="1">
        <v>3.0</v>
      </c>
      <c r="B4" s="1">
        <v>1.0</v>
      </c>
      <c r="C4" s="5">
        <v>44708.0</v>
      </c>
      <c r="D4" s="1" t="s">
        <v>37</v>
      </c>
      <c r="E4" s="1" t="s">
        <v>40</v>
      </c>
      <c r="F4" s="9"/>
      <c r="G4" s="10"/>
      <c r="I4" s="8"/>
      <c r="K4" s="9"/>
      <c r="L4" s="9"/>
      <c r="M4" s="8"/>
      <c r="N4" s="9"/>
    </row>
    <row r="5">
      <c r="A5" s="1">
        <v>4.0</v>
      </c>
      <c r="B5" s="1">
        <v>1.0</v>
      </c>
      <c r="C5" s="5">
        <v>44708.0</v>
      </c>
      <c r="D5" s="1" t="s">
        <v>37</v>
      </c>
      <c r="E5" s="1" t="s">
        <v>41</v>
      </c>
      <c r="I5" s="8"/>
      <c r="J5" s="8"/>
      <c r="K5" s="6"/>
      <c r="L5" s="6"/>
      <c r="M5" s="6"/>
      <c r="N5" s="6"/>
    </row>
    <row r="6">
      <c r="A6" s="1">
        <v>5.0</v>
      </c>
      <c r="B6" s="1">
        <v>1.0</v>
      </c>
      <c r="C6" s="5">
        <v>44709.0</v>
      </c>
      <c r="D6" s="1" t="s">
        <v>34</v>
      </c>
      <c r="E6" s="1" t="s">
        <v>40</v>
      </c>
      <c r="F6" s="6" t="s">
        <v>26</v>
      </c>
      <c r="G6" s="7" t="s">
        <v>42</v>
      </c>
      <c r="I6" s="8"/>
      <c r="J6" s="8"/>
      <c r="K6" s="9"/>
      <c r="L6" s="9"/>
      <c r="M6" s="9"/>
      <c r="N6" s="9"/>
    </row>
    <row r="7">
      <c r="A7" s="1">
        <v>5.0</v>
      </c>
      <c r="B7" s="1">
        <v>1.0</v>
      </c>
      <c r="C7" s="5">
        <v>44709.0</v>
      </c>
      <c r="D7" s="1" t="s">
        <v>34</v>
      </c>
      <c r="E7" s="1" t="s">
        <v>40</v>
      </c>
      <c r="F7" s="6" t="s">
        <v>43</v>
      </c>
      <c r="G7" s="7" t="s">
        <v>44</v>
      </c>
      <c r="I7" s="8"/>
      <c r="J7" s="8"/>
      <c r="K7" s="9"/>
      <c r="L7" s="9"/>
      <c r="M7" s="9"/>
      <c r="N7" s="9"/>
    </row>
    <row r="8">
      <c r="A8" s="1">
        <v>6.0</v>
      </c>
      <c r="B8" s="1">
        <v>1.0</v>
      </c>
      <c r="C8" s="5">
        <v>44710.0</v>
      </c>
      <c r="D8" s="1" t="s">
        <v>37</v>
      </c>
      <c r="E8" s="1" t="s">
        <v>35</v>
      </c>
      <c r="F8" s="6" t="s">
        <v>27</v>
      </c>
      <c r="G8" s="7" t="s">
        <v>45</v>
      </c>
      <c r="I8" s="8"/>
      <c r="J8" s="8"/>
      <c r="K8" s="9"/>
      <c r="L8" s="9"/>
      <c r="M8" s="9"/>
      <c r="N8" s="9"/>
    </row>
    <row r="9">
      <c r="A9" s="1">
        <v>7.0</v>
      </c>
      <c r="B9" s="1">
        <v>2.0</v>
      </c>
      <c r="C9" s="5">
        <v>45071.0</v>
      </c>
      <c r="D9" s="1" t="s">
        <v>46</v>
      </c>
      <c r="E9" s="1" t="s">
        <v>47</v>
      </c>
      <c r="F9" s="6" t="s">
        <v>48</v>
      </c>
      <c r="G9" s="7" t="s">
        <v>49</v>
      </c>
      <c r="J9" s="8"/>
      <c r="K9" s="9"/>
      <c r="L9" s="6"/>
      <c r="M9" s="9"/>
      <c r="N9" s="9"/>
    </row>
    <row r="10">
      <c r="A10" s="1">
        <v>8.0</v>
      </c>
      <c r="B10" s="1">
        <v>2.0</v>
      </c>
      <c r="C10" s="5">
        <v>45072.0</v>
      </c>
      <c r="D10" s="1" t="s">
        <v>46</v>
      </c>
      <c r="E10" s="1" t="s">
        <v>38</v>
      </c>
      <c r="F10" s="6" t="s">
        <v>27</v>
      </c>
      <c r="G10" s="7" t="s">
        <v>50</v>
      </c>
      <c r="J10" s="8"/>
      <c r="K10" s="6"/>
      <c r="L10" s="6"/>
      <c r="M10" s="9"/>
      <c r="N10" s="6"/>
    </row>
    <row r="11">
      <c r="A11" s="1">
        <v>9.0</v>
      </c>
      <c r="B11" s="1">
        <v>2.0</v>
      </c>
      <c r="C11" s="5">
        <v>45073.0</v>
      </c>
      <c r="D11" s="1" t="s">
        <v>51</v>
      </c>
      <c r="E11" s="1" t="s">
        <v>40</v>
      </c>
      <c r="F11" s="6" t="s">
        <v>26</v>
      </c>
      <c r="G11" s="11" t="s">
        <v>52</v>
      </c>
      <c r="K11" s="9"/>
      <c r="L11" s="9"/>
      <c r="M11" s="9"/>
      <c r="N11" s="9"/>
    </row>
    <row r="12">
      <c r="A12" s="1">
        <v>10.0</v>
      </c>
      <c r="B12" s="1">
        <v>2.0</v>
      </c>
      <c r="C12" s="5">
        <v>45074.0</v>
      </c>
      <c r="D12" s="1" t="s">
        <v>51</v>
      </c>
      <c r="E12" s="1" t="s">
        <v>53</v>
      </c>
      <c r="F12" s="6" t="s">
        <v>54</v>
      </c>
      <c r="G12" s="7" t="s">
        <v>55</v>
      </c>
      <c r="J12" s="8"/>
      <c r="K12" s="6"/>
      <c r="L12" s="9"/>
      <c r="M12" s="9"/>
      <c r="N12" s="9"/>
    </row>
    <row r="13">
      <c r="A13" s="1">
        <v>11.0</v>
      </c>
      <c r="B13" s="1">
        <v>3.0</v>
      </c>
      <c r="C13" s="5">
        <v>45546.0</v>
      </c>
      <c r="D13" s="1" t="s">
        <v>56</v>
      </c>
      <c r="E13" s="1" t="s">
        <v>53</v>
      </c>
      <c r="F13" s="6" t="s">
        <v>48</v>
      </c>
      <c r="G13" s="7" t="s">
        <v>57</v>
      </c>
      <c r="I13" s="8"/>
      <c r="J13" s="8"/>
      <c r="K13" s="9"/>
      <c r="L13" s="9"/>
      <c r="M13" s="6"/>
      <c r="N13" s="9"/>
    </row>
    <row r="14">
      <c r="A14" s="1">
        <v>12.0</v>
      </c>
      <c r="B14" s="1">
        <v>3.0</v>
      </c>
      <c r="C14" s="5">
        <v>45547.0</v>
      </c>
      <c r="D14" s="1" t="s">
        <v>58</v>
      </c>
      <c r="E14" s="1" t="s">
        <v>47</v>
      </c>
      <c r="F14" s="6" t="s">
        <v>19</v>
      </c>
      <c r="G14" s="7" t="s">
        <v>59</v>
      </c>
      <c r="I14" s="8"/>
      <c r="J14" s="8"/>
      <c r="K14" s="9"/>
      <c r="L14" s="6"/>
      <c r="M14" s="6"/>
      <c r="N14" s="9"/>
    </row>
    <row r="15">
      <c r="A15" s="1">
        <v>13.0</v>
      </c>
      <c r="B15" s="1">
        <v>3.0</v>
      </c>
      <c r="C15" s="5">
        <v>45548.0</v>
      </c>
      <c r="D15" s="1" t="s">
        <v>60</v>
      </c>
      <c r="E15" s="1" t="s">
        <v>38</v>
      </c>
      <c r="F15" s="6" t="s">
        <v>26</v>
      </c>
      <c r="G15" s="7" t="s">
        <v>61</v>
      </c>
      <c r="I15" s="8"/>
      <c r="J15" s="8"/>
      <c r="K15" s="9"/>
      <c r="L15" s="9"/>
      <c r="M15" s="9"/>
      <c r="N15" s="6"/>
    </row>
    <row r="16">
      <c r="A16" s="1">
        <v>13.5</v>
      </c>
      <c r="B16" s="1">
        <v>3.0</v>
      </c>
      <c r="C16" s="5">
        <v>45549.0</v>
      </c>
      <c r="D16" s="1" t="s">
        <v>62</v>
      </c>
      <c r="E16" s="1"/>
      <c r="F16" s="6" t="s">
        <v>63</v>
      </c>
      <c r="G16" s="7" t="s">
        <v>64</v>
      </c>
      <c r="I16" s="8"/>
      <c r="J16" s="8"/>
      <c r="K16" s="9"/>
      <c r="L16" s="9"/>
      <c r="M16" s="6"/>
      <c r="N16" s="9"/>
    </row>
    <row r="17">
      <c r="A17" s="1">
        <v>14.0</v>
      </c>
      <c r="B17" s="1">
        <v>3.0</v>
      </c>
      <c r="C17" s="5">
        <v>45550.0</v>
      </c>
      <c r="D17" s="1" t="s">
        <v>65</v>
      </c>
      <c r="E17" s="1" t="s">
        <v>40</v>
      </c>
      <c r="F17" s="6" t="s">
        <v>14</v>
      </c>
      <c r="G17" s="7" t="s">
        <v>66</v>
      </c>
      <c r="I17" s="8"/>
      <c r="J17" s="8"/>
      <c r="K17" s="9"/>
      <c r="L17" s="9"/>
      <c r="M17" s="6"/>
      <c r="N17" s="9"/>
    </row>
    <row r="18">
      <c r="A18" s="1">
        <v>15.0</v>
      </c>
      <c r="B18" s="1">
        <v>4.0</v>
      </c>
      <c r="C18" s="5">
        <v>45791.0</v>
      </c>
      <c r="D18" s="1" t="s">
        <v>67</v>
      </c>
      <c r="E18" s="1" t="s">
        <v>47</v>
      </c>
      <c r="F18" s="6" t="s">
        <v>26</v>
      </c>
      <c r="G18" s="7" t="s">
        <v>68</v>
      </c>
      <c r="I18" s="8"/>
      <c r="J18" s="8"/>
      <c r="K18" s="6"/>
      <c r="L18" s="9"/>
      <c r="M18" s="9"/>
      <c r="N18" s="9"/>
    </row>
    <row r="19">
      <c r="A19" s="1">
        <v>16.0</v>
      </c>
      <c r="B19" s="1">
        <v>4.0</v>
      </c>
      <c r="C19" s="5">
        <v>45792.0</v>
      </c>
      <c r="D19" s="1" t="s">
        <v>69</v>
      </c>
      <c r="E19" s="1" t="s">
        <v>38</v>
      </c>
      <c r="F19" s="6" t="s">
        <v>27</v>
      </c>
      <c r="G19" s="12" t="s">
        <v>50</v>
      </c>
      <c r="I19" s="8"/>
    </row>
    <row r="20">
      <c r="A20" s="1">
        <v>17.0</v>
      </c>
      <c r="B20" s="1">
        <v>4.0</v>
      </c>
      <c r="C20" s="5">
        <v>45793.0</v>
      </c>
      <c r="D20" s="1" t="s">
        <v>67</v>
      </c>
      <c r="E20" s="1" t="s">
        <v>40</v>
      </c>
      <c r="F20" s="6" t="s">
        <v>70</v>
      </c>
      <c r="G20" s="7" t="s">
        <v>71</v>
      </c>
    </row>
    <row r="21">
      <c r="A21" s="1">
        <v>18.0</v>
      </c>
      <c r="B21" s="1">
        <v>4.0</v>
      </c>
      <c r="C21" s="5">
        <v>45794.0</v>
      </c>
      <c r="D21" s="1" t="s">
        <v>72</v>
      </c>
      <c r="E21" s="1" t="s">
        <v>53</v>
      </c>
      <c r="F21" s="6" t="s">
        <v>27</v>
      </c>
      <c r="G21" s="7" t="s">
        <v>73</v>
      </c>
      <c r="I21" s="8"/>
      <c r="J21" s="8"/>
      <c r="K21" s="6"/>
      <c r="L21" s="9"/>
      <c r="M21" s="9"/>
      <c r="N21" s="9"/>
    </row>
    <row r="22">
      <c r="C22" s="13"/>
      <c r="J22" s="8"/>
      <c r="K22" s="9"/>
      <c r="L22" s="9"/>
      <c r="M22" s="9"/>
      <c r="N22" s="9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  <row r="1001">
      <c r="C1001" s="13"/>
    </row>
    <row r="1002">
      <c r="C1002" s="13"/>
    </row>
    <row r="1003">
      <c r="C1003" s="13"/>
    </row>
    <row r="1004">
      <c r="C1004" s="13"/>
    </row>
    <row r="1005">
      <c r="C1005" s="13"/>
    </row>
    <row r="1006">
      <c r="C1006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7.75"/>
    <col customWidth="1" min="3" max="3" width="9.25"/>
    <col customWidth="1" min="4" max="5" width="11.5"/>
    <col customWidth="1" min="6" max="6" width="15.13"/>
    <col customWidth="1" min="7" max="7" width="11.13"/>
    <col customWidth="1" min="8" max="8" width="8.38"/>
    <col customWidth="1" min="9" max="9" width="8.0"/>
    <col customWidth="1" min="10" max="10" width="7.88"/>
    <col customWidth="1" min="11" max="12" width="9.0"/>
    <col customWidth="1" min="13" max="13" width="6.75"/>
    <col customWidth="1" min="14" max="14" width="6.88"/>
    <col customWidth="1" min="15" max="15" width="6.75"/>
    <col customWidth="1" min="16" max="16" width="6.88"/>
    <col customWidth="1" min="17" max="17" width="6.38"/>
    <col customWidth="1" min="18" max="18" width="8.13"/>
    <col customWidth="1" min="19" max="19" width="13.38"/>
    <col customWidth="1" min="20" max="20" width="13.13"/>
    <col customWidth="1" min="21" max="21" width="7.88"/>
    <col customWidth="1" min="22" max="22" width="8.0"/>
    <col customWidth="1" min="23" max="23" width="7.88"/>
    <col customWidth="1" min="24" max="24" width="8.0"/>
    <col customWidth="1" min="25" max="25" width="8.63"/>
    <col customWidth="1" min="26" max="26" width="8.75"/>
    <col customWidth="1" min="27" max="27" width="8.63"/>
    <col customWidth="1" min="28" max="28" width="8.75"/>
    <col customWidth="1" min="29" max="29" width="9.88"/>
    <col customWidth="1" min="30" max="30" width="10.0"/>
    <col customWidth="1" min="31" max="31" width="9.88"/>
    <col customWidth="1" min="32" max="32" width="10.0"/>
    <col customWidth="1" min="33" max="33" width="9.0"/>
  </cols>
  <sheetData>
    <row r="1">
      <c r="A1" s="14" t="s">
        <v>29</v>
      </c>
      <c r="B1" s="15" t="s">
        <v>28</v>
      </c>
      <c r="C1" s="15" t="s">
        <v>1</v>
      </c>
      <c r="D1" s="16" t="s">
        <v>2</v>
      </c>
      <c r="E1" s="16" t="s">
        <v>3</v>
      </c>
      <c r="F1" s="16" t="s">
        <v>30</v>
      </c>
      <c r="G1" s="16" t="s">
        <v>31</v>
      </c>
      <c r="H1" s="16" t="s">
        <v>74</v>
      </c>
      <c r="I1" s="16" t="s">
        <v>75</v>
      </c>
      <c r="J1" s="16" t="s">
        <v>76</v>
      </c>
      <c r="K1" s="16" t="s">
        <v>77</v>
      </c>
      <c r="L1" s="16" t="s">
        <v>78</v>
      </c>
      <c r="M1" s="16" t="s">
        <v>79</v>
      </c>
      <c r="N1" s="16" t="s">
        <v>80</v>
      </c>
      <c r="O1" s="16" t="s">
        <v>81</v>
      </c>
      <c r="P1" s="16" t="s">
        <v>82</v>
      </c>
      <c r="Q1" s="16" t="s">
        <v>83</v>
      </c>
      <c r="R1" s="2" t="s">
        <v>84</v>
      </c>
      <c r="S1" s="16" t="s">
        <v>85</v>
      </c>
      <c r="T1" s="16" t="s">
        <v>86</v>
      </c>
      <c r="U1" s="16" t="s">
        <v>87</v>
      </c>
      <c r="V1" s="16" t="s">
        <v>88</v>
      </c>
      <c r="W1" s="16" t="s">
        <v>89</v>
      </c>
      <c r="X1" s="16" t="s">
        <v>90</v>
      </c>
      <c r="Y1" s="16" t="s">
        <v>91</v>
      </c>
      <c r="Z1" s="16" t="s">
        <v>92</v>
      </c>
      <c r="AA1" s="16" t="s">
        <v>93</v>
      </c>
      <c r="AB1" s="16" t="s">
        <v>94</v>
      </c>
      <c r="AC1" s="16" t="s">
        <v>95</v>
      </c>
      <c r="AD1" s="16" t="s">
        <v>96</v>
      </c>
      <c r="AE1" s="16" t="s">
        <v>97</v>
      </c>
      <c r="AF1" s="16" t="s">
        <v>98</v>
      </c>
      <c r="AG1" s="16"/>
    </row>
    <row r="2">
      <c r="A2" s="13">
        <f>vlookup($B2,Matchdays!$A$2:$E$20,3)</f>
        <v>44707</v>
      </c>
      <c r="B2" s="1">
        <v>1.0</v>
      </c>
      <c r="C2" s="17">
        <f>vlookup($B2,Matchdays!$A$2:$E$20,2)</f>
        <v>1</v>
      </c>
      <c r="D2" s="17" t="str">
        <f>vlookup($C2,Holidays!$A:$G,2)</f>
        <v>Portugal</v>
      </c>
      <c r="E2" s="17" t="str">
        <f>vlookup($C2,Holidays!$A:$G,3)</f>
        <v>Amendoeira</v>
      </c>
      <c r="F2" s="17" t="str">
        <f>vlookup($B2,Matchdays!$A$2:$E$20,4)</f>
        <v>Faldo</v>
      </c>
      <c r="G2" s="17" t="str">
        <f>vlookup($B2,Matchdays!$A$2:$E$20,5)</f>
        <v>Texas Scramble</v>
      </c>
      <c r="H2" s="1">
        <v>1.0</v>
      </c>
      <c r="I2" s="1" t="s">
        <v>26</v>
      </c>
      <c r="J2" s="1" t="s">
        <v>20</v>
      </c>
      <c r="K2" s="1" t="s">
        <v>27</v>
      </c>
      <c r="M2" s="1" t="s">
        <v>13</v>
      </c>
      <c r="N2" s="1" t="s">
        <v>13</v>
      </c>
      <c r="O2" s="1" t="s">
        <v>13</v>
      </c>
      <c r="Q2" s="1">
        <v>1.0</v>
      </c>
      <c r="R2" s="18">
        <f t="shared" ref="R2:R3" si="2">4</f>
        <v>4</v>
      </c>
      <c r="S2" s="17" t="str">
        <f>vlookup($C2,Holidays!$A:$G,6)</f>
        <v>Watters</v>
      </c>
      <c r="T2" s="17" t="str">
        <f>vlookup($C2,Holidays!$A:$G,7)</f>
        <v>J. Witt</v>
      </c>
      <c r="U2" s="19">
        <f t="shared" ref="U2:W2" si="1">2.5/3</f>
        <v>0.8333333333</v>
      </c>
      <c r="V2" s="19">
        <f t="shared" si="1"/>
        <v>0.8333333333</v>
      </c>
      <c r="W2" s="19">
        <f t="shared" si="1"/>
        <v>0.8333333333</v>
      </c>
      <c r="X2" s="19">
        <f t="shared" ref="X2:X3" si="4">if(P2=$Q$2,1,0)</f>
        <v>0</v>
      </c>
    </row>
    <row r="3">
      <c r="A3" s="13">
        <f>vlookup($B3,Matchdays!$A$2:$E$20,3)</f>
        <v>44707</v>
      </c>
      <c r="B3" s="1">
        <v>1.0</v>
      </c>
      <c r="C3" s="17">
        <f>vlookup($B3,Matchdays!$A$2:$E$20,2)</f>
        <v>1</v>
      </c>
      <c r="D3" s="17" t="str">
        <f>vlookup($C3,Holidays!$A:$G,2)</f>
        <v>Portugal</v>
      </c>
      <c r="E3" s="17" t="str">
        <f>vlookup($C3,Holidays!$A:$G,3)</f>
        <v>Amendoeira</v>
      </c>
      <c r="F3" s="17" t="str">
        <f>vlookup($B3,Matchdays!$A$2:$E$20,4)</f>
        <v>Faldo</v>
      </c>
      <c r="G3" s="17" t="str">
        <f>vlookup($B3,Matchdays!$A$2:$E$20,5)</f>
        <v>Texas Scramble</v>
      </c>
      <c r="H3" s="1">
        <v>1.0</v>
      </c>
      <c r="I3" s="1" t="s">
        <v>16</v>
      </c>
      <c r="J3" s="1" t="s">
        <v>19</v>
      </c>
      <c r="K3" s="1" t="s">
        <v>70</v>
      </c>
      <c r="M3" s="1" t="s">
        <v>12</v>
      </c>
      <c r="N3" s="1" t="s">
        <v>12</v>
      </c>
      <c r="O3" s="1" t="s">
        <v>12</v>
      </c>
      <c r="Q3" s="1">
        <v>1.0</v>
      </c>
      <c r="R3" s="18">
        <f t="shared" si="2"/>
        <v>4</v>
      </c>
      <c r="S3" s="17" t="str">
        <f>vlookup($C3,Holidays!$A:$G,6)</f>
        <v>Watters</v>
      </c>
      <c r="T3" s="17" t="str">
        <f>vlookup($C3,Holidays!$A:$G,7)</f>
        <v>J. Witt</v>
      </c>
      <c r="U3" s="19">
        <f t="shared" ref="U3:W3" si="3">2.5/3</f>
        <v>0.8333333333</v>
      </c>
      <c r="V3" s="19">
        <f t="shared" si="3"/>
        <v>0.8333333333</v>
      </c>
      <c r="W3" s="19">
        <f t="shared" si="3"/>
        <v>0.8333333333</v>
      </c>
      <c r="X3" s="19">
        <f t="shared" si="4"/>
        <v>0</v>
      </c>
    </row>
    <row r="4">
      <c r="A4" s="13">
        <f>vlookup($B4,Matchdays!$A$2:$E$20,3)</f>
        <v>44707</v>
      </c>
      <c r="B4" s="1">
        <v>1.0</v>
      </c>
      <c r="C4" s="17">
        <f>vlookup($B4,Matchdays!$A$2:$E$20,2)</f>
        <v>1</v>
      </c>
      <c r="D4" s="17" t="str">
        <f>vlookup($C4,Holidays!$A:$G,2)</f>
        <v>Portugal</v>
      </c>
      <c r="E4" s="17" t="str">
        <f>vlookup($C4,Holidays!$A:$G,3)</f>
        <v>Amendoeira</v>
      </c>
      <c r="F4" s="17" t="str">
        <f>vlookup($B4,Matchdays!$A$2:$E$20,4)</f>
        <v>Faldo</v>
      </c>
      <c r="G4" s="17" t="str">
        <f>vlookup($B4,Matchdays!$A$2:$E$20,5)</f>
        <v>Texas Scramble</v>
      </c>
      <c r="H4" s="1">
        <v>1.0</v>
      </c>
      <c r="I4" s="1" t="s">
        <v>14</v>
      </c>
      <c r="J4" s="1" t="s">
        <v>54</v>
      </c>
      <c r="K4" s="1" t="s">
        <v>43</v>
      </c>
      <c r="L4" s="1" t="s">
        <v>23</v>
      </c>
      <c r="M4" s="1" t="s">
        <v>12</v>
      </c>
      <c r="N4" s="1" t="s">
        <v>12</v>
      </c>
      <c r="O4" s="1" t="s">
        <v>12</v>
      </c>
      <c r="P4" s="1" t="s">
        <v>12</v>
      </c>
      <c r="Q4" s="1">
        <v>3.0</v>
      </c>
      <c r="R4" s="20">
        <v>6.0</v>
      </c>
      <c r="S4" s="17" t="str">
        <f>vlookup($C4,Holidays!$A:$G,6)</f>
        <v>Watters</v>
      </c>
      <c r="T4" s="17" t="str">
        <f>vlookup($C4,Holidays!$A:$G,7)</f>
        <v>J. Witt</v>
      </c>
      <c r="U4" s="21">
        <v>0.25</v>
      </c>
      <c r="V4" s="21">
        <v>0.25</v>
      </c>
      <c r="W4" s="21">
        <v>0.25</v>
      </c>
      <c r="X4" s="21">
        <v>0.25</v>
      </c>
    </row>
    <row r="5">
      <c r="A5" s="13">
        <f>vlookup($B5,Matchdays!$A$2:$E$20,3)</f>
        <v>44707</v>
      </c>
      <c r="B5" s="1">
        <v>1.0</v>
      </c>
      <c r="C5" s="17">
        <f>vlookup($B5,Matchdays!$A$2:$E$20,2)</f>
        <v>1</v>
      </c>
      <c r="D5" s="17" t="str">
        <f>vlookup($C5,Holidays!$A:$G,2)</f>
        <v>Portugal</v>
      </c>
      <c r="E5" s="17" t="str">
        <f>vlookup($C5,Holidays!$A:$G,3)</f>
        <v>Amendoeira</v>
      </c>
      <c r="F5" s="17" t="str">
        <f>vlookup($B5,Matchdays!$A$2:$E$20,4)</f>
        <v>Faldo</v>
      </c>
      <c r="G5" s="17" t="str">
        <f>vlookup($B5,Matchdays!$A$2:$E$20,5)</f>
        <v>Texas Scramble</v>
      </c>
      <c r="H5" s="1">
        <v>1.0</v>
      </c>
      <c r="I5" s="1" t="s">
        <v>22</v>
      </c>
      <c r="J5" s="1" t="s">
        <v>15</v>
      </c>
      <c r="K5" s="1" t="s">
        <v>48</v>
      </c>
      <c r="M5" s="1" t="s">
        <v>13</v>
      </c>
      <c r="N5" s="1" t="s">
        <v>13</v>
      </c>
      <c r="O5" s="1" t="s">
        <v>13</v>
      </c>
      <c r="Q5" s="1">
        <v>4.0</v>
      </c>
      <c r="R5" s="20">
        <v>9.0</v>
      </c>
      <c r="S5" s="17" t="str">
        <f>vlookup($C5,Holidays!$A:$G,6)</f>
        <v>Watters</v>
      </c>
      <c r="T5" s="17" t="str">
        <f>vlookup($C5,Holidays!$A:$G,7)</f>
        <v>J. Witt</v>
      </c>
      <c r="U5" s="19">
        <f t="shared" ref="U5:X5" si="5">if(M5=$Q$2,1,0)</f>
        <v>0</v>
      </c>
      <c r="V5" s="19">
        <f t="shared" si="5"/>
        <v>0</v>
      </c>
      <c r="W5" s="19">
        <f t="shared" si="5"/>
        <v>0</v>
      </c>
      <c r="X5" s="19">
        <f t="shared" si="5"/>
        <v>0</v>
      </c>
    </row>
    <row r="6">
      <c r="A6" s="13">
        <f>vlookup($B6,Matchdays!$A$2:$E$20,3)</f>
        <v>44708</v>
      </c>
      <c r="B6" s="1">
        <v>2.0</v>
      </c>
      <c r="C6" s="17">
        <f>vlookup($B6,Matchdays!$A$2:$E$20,2)</f>
        <v>1</v>
      </c>
      <c r="D6" s="17" t="str">
        <f>vlookup($C6,Holidays!$A:$G,2)</f>
        <v>Portugal</v>
      </c>
      <c r="E6" s="17" t="str">
        <f>vlookup($C6,Holidays!$A:$G,3)</f>
        <v>Amendoeira</v>
      </c>
      <c r="F6" s="17" t="str">
        <f>vlookup($B6,Matchdays!$A$2:$E$20,4)</f>
        <v>O'Connor</v>
      </c>
      <c r="G6" s="17" t="str">
        <f>vlookup($B6,Matchdays!$A$2:$E$20,5)</f>
        <v>Fourball</v>
      </c>
      <c r="H6" s="1">
        <v>2.0</v>
      </c>
      <c r="I6" s="1" t="s">
        <v>14</v>
      </c>
      <c r="J6" s="1" t="s">
        <v>70</v>
      </c>
      <c r="K6" s="1" t="s">
        <v>48</v>
      </c>
      <c r="L6" s="1" t="s">
        <v>27</v>
      </c>
      <c r="M6" s="1" t="s">
        <v>12</v>
      </c>
      <c r="N6" s="1" t="s">
        <v>12</v>
      </c>
      <c r="O6" s="1" t="s">
        <v>13</v>
      </c>
      <c r="P6" s="1" t="s">
        <v>13</v>
      </c>
      <c r="Q6" s="1" t="s">
        <v>12</v>
      </c>
      <c r="R6" s="6" t="s">
        <v>99</v>
      </c>
      <c r="S6" s="17" t="str">
        <f>vlookup($C6,Holidays!$A:$G,6)</f>
        <v>Watters</v>
      </c>
      <c r="T6" s="17" t="str">
        <f>vlookup($C6,Holidays!$A:$G,7)</f>
        <v>J. Witt</v>
      </c>
      <c r="U6" s="17">
        <f t="shared" ref="U6:X6" si="6">if(M6=$Q6,1,if($Q6 = "Tie",0.5,0))</f>
        <v>1</v>
      </c>
      <c r="V6" s="17">
        <f t="shared" si="6"/>
        <v>1</v>
      </c>
      <c r="W6" s="17">
        <f t="shared" si="6"/>
        <v>0</v>
      </c>
      <c r="X6" s="17">
        <f t="shared" si="6"/>
        <v>0</v>
      </c>
    </row>
    <row r="7">
      <c r="A7" s="13">
        <f>vlookup($B7,Matchdays!$A$2:$E$20,3)</f>
        <v>44708</v>
      </c>
      <c r="B7" s="1">
        <v>2.0</v>
      </c>
      <c r="C7" s="17">
        <f>vlookup($B7,Matchdays!$A$2:$E$20,2)</f>
        <v>1</v>
      </c>
      <c r="D7" s="17" t="str">
        <f>vlookup($C7,Holidays!$A:$G,2)</f>
        <v>Portugal</v>
      </c>
      <c r="E7" s="17" t="str">
        <f>vlookup($C7,Holidays!$A:$G,3)</f>
        <v>Amendoeira</v>
      </c>
      <c r="F7" s="17" t="str">
        <f>vlookup($B7,Matchdays!$A$2:$E$20,4)</f>
        <v>O'Connor</v>
      </c>
      <c r="G7" s="17" t="str">
        <f>vlookup($B7,Matchdays!$A$2:$E$20,5)</f>
        <v>Fourball</v>
      </c>
      <c r="H7" s="17">
        <v>3.0</v>
      </c>
      <c r="I7" s="1" t="s">
        <v>19</v>
      </c>
      <c r="J7" s="1" t="s">
        <v>23</v>
      </c>
      <c r="K7" s="1" t="s">
        <v>20</v>
      </c>
      <c r="L7" s="1" t="s">
        <v>26</v>
      </c>
      <c r="M7" s="1" t="s">
        <v>12</v>
      </c>
      <c r="N7" s="1" t="s">
        <v>12</v>
      </c>
      <c r="O7" s="1" t="s">
        <v>13</v>
      </c>
      <c r="P7" s="1" t="s">
        <v>13</v>
      </c>
      <c r="Q7" s="17" t="s">
        <v>13</v>
      </c>
      <c r="R7" s="6" t="s">
        <v>100</v>
      </c>
      <c r="S7" s="17" t="str">
        <f>vlookup($C7,Holidays!$A:$G,6)</f>
        <v>Watters</v>
      </c>
      <c r="T7" s="17" t="str">
        <f>vlookup($C7,Holidays!$A:$G,7)</f>
        <v>J. Witt</v>
      </c>
      <c r="U7" s="17">
        <f t="shared" ref="U7:X7" si="7">if(M7=$Q7,1,if($Q7 = "Tie",0.5,0))</f>
        <v>0</v>
      </c>
      <c r="V7" s="17">
        <f t="shared" si="7"/>
        <v>0</v>
      </c>
      <c r="W7" s="17">
        <f t="shared" si="7"/>
        <v>1</v>
      </c>
      <c r="X7" s="17">
        <f t="shared" si="7"/>
        <v>1</v>
      </c>
      <c r="AD7" s="1">
        <v>1.0</v>
      </c>
    </row>
    <row r="8">
      <c r="A8" s="13">
        <f>vlookup($B8,Matchdays!$A$2:$E$20,3)</f>
        <v>44708</v>
      </c>
      <c r="B8" s="1">
        <v>3.0</v>
      </c>
      <c r="C8" s="17">
        <f>vlookup($B8,Matchdays!$A$2:$E$20,2)</f>
        <v>1</v>
      </c>
      <c r="D8" s="17" t="str">
        <f>vlookup($C8,Holidays!$A:$G,2)</f>
        <v>Portugal</v>
      </c>
      <c r="E8" s="17" t="str">
        <f>vlookup($C8,Holidays!$A:$G,3)</f>
        <v>Amendoeira</v>
      </c>
      <c r="F8" s="17" t="str">
        <f>vlookup($B8,Matchdays!$A$2:$E$20,4)</f>
        <v>O'Connor</v>
      </c>
      <c r="G8" s="17" t="str">
        <f>vlookup($B8,Matchdays!$A$2:$E$20,5)</f>
        <v>Singles</v>
      </c>
      <c r="H8" s="1">
        <v>4.0</v>
      </c>
      <c r="I8" s="1" t="s">
        <v>16</v>
      </c>
      <c r="K8" s="1" t="s">
        <v>22</v>
      </c>
      <c r="M8" s="1" t="s">
        <v>12</v>
      </c>
      <c r="N8" s="1" t="s">
        <v>101</v>
      </c>
      <c r="O8" s="1" t="s">
        <v>13</v>
      </c>
      <c r="P8" s="1" t="s">
        <v>101</v>
      </c>
      <c r="Q8" s="17" t="s">
        <v>12</v>
      </c>
      <c r="R8" s="6" t="s">
        <v>102</v>
      </c>
      <c r="S8" s="17" t="str">
        <f>vlookup($C8,Holidays!$A:$G,6)</f>
        <v>Watters</v>
      </c>
      <c r="T8" s="17" t="str">
        <f>vlookup($C8,Holidays!$A:$G,7)</f>
        <v>J. Witt</v>
      </c>
      <c r="U8" s="17">
        <f t="shared" ref="U8:X8" si="8">if(M8=$Q8,1,if($Q8 = "Tie",0.5,0))</f>
        <v>1</v>
      </c>
      <c r="V8" s="17">
        <f t="shared" si="8"/>
        <v>0</v>
      </c>
      <c r="W8" s="17">
        <f t="shared" si="8"/>
        <v>0</v>
      </c>
      <c r="X8" s="17">
        <f t="shared" si="8"/>
        <v>0</v>
      </c>
    </row>
    <row r="9">
      <c r="A9" s="13">
        <f>vlookup($B9,Matchdays!$A$2:$E$20,3)</f>
        <v>44708</v>
      </c>
      <c r="B9" s="1">
        <v>4.0</v>
      </c>
      <c r="C9" s="17">
        <f>vlookup($B9,Matchdays!$A$2:$E$20,2)</f>
        <v>1</v>
      </c>
      <c r="D9" s="17" t="str">
        <f>vlookup($C9,Holidays!$A:$G,2)</f>
        <v>Portugal</v>
      </c>
      <c r="E9" s="17" t="str">
        <f>vlookup($C9,Holidays!$A:$G,3)</f>
        <v>Amendoeira</v>
      </c>
      <c r="F9" s="17" t="str">
        <f>vlookup($B9,Matchdays!$A$2:$E$20,4)</f>
        <v>O'Connor</v>
      </c>
      <c r="G9" s="17" t="str">
        <f>vlookup($B9,Matchdays!$A$2:$E$20,5)</f>
        <v>Kingpin</v>
      </c>
      <c r="H9" s="17">
        <v>5.0</v>
      </c>
      <c r="I9" s="1" t="s">
        <v>54</v>
      </c>
      <c r="J9" s="1" t="s">
        <v>43</v>
      </c>
      <c r="K9" s="1" t="s">
        <v>15</v>
      </c>
      <c r="M9" s="1" t="s">
        <v>12</v>
      </c>
      <c r="N9" s="1" t="s">
        <v>12</v>
      </c>
      <c r="O9" s="1" t="s">
        <v>13</v>
      </c>
      <c r="P9" s="1" t="s">
        <v>101</v>
      </c>
      <c r="Q9" s="17" t="s">
        <v>13</v>
      </c>
      <c r="R9" s="6" t="s">
        <v>103</v>
      </c>
      <c r="S9" s="17" t="str">
        <f>vlookup($C9,Holidays!$A:$G,6)</f>
        <v>Watters</v>
      </c>
      <c r="T9" s="17" t="str">
        <f>vlookup($C9,Holidays!$A:$G,7)</f>
        <v>J. Witt</v>
      </c>
      <c r="U9" s="17">
        <f t="shared" ref="U9:X9" si="9">if(M9=$Q9,1,if($Q9 = "Tie",0.5,0))</f>
        <v>0</v>
      </c>
      <c r="V9" s="17">
        <f t="shared" si="9"/>
        <v>0</v>
      </c>
      <c r="W9" s="17">
        <f t="shared" si="9"/>
        <v>1</v>
      </c>
      <c r="X9" s="17">
        <f t="shared" si="9"/>
        <v>0</v>
      </c>
    </row>
    <row r="10">
      <c r="A10" s="13">
        <f>vlookup($B10,Matchdays!$A$2:$E$20,3)</f>
        <v>44709</v>
      </c>
      <c r="B10" s="1">
        <v>5.0</v>
      </c>
      <c r="C10" s="17">
        <f>vlookup($B10,Matchdays!$A$2:$E$20,2)</f>
        <v>1</v>
      </c>
      <c r="D10" s="17" t="str">
        <f>vlookup($C10,Holidays!$A:$G,2)</f>
        <v>Portugal</v>
      </c>
      <c r="E10" s="17" t="str">
        <f>vlookup($C10,Holidays!$A:$G,3)</f>
        <v>Amendoeira</v>
      </c>
      <c r="F10" s="17" t="str">
        <f>vlookup($B10,Matchdays!$A$2:$E$20,4)</f>
        <v>Faldo</v>
      </c>
      <c r="G10" s="17" t="str">
        <f>vlookup($B10,Matchdays!$A$2:$E$20,5)</f>
        <v>Singles</v>
      </c>
      <c r="H10" s="1">
        <v>6.0</v>
      </c>
      <c r="I10" s="1" t="s">
        <v>14</v>
      </c>
      <c r="K10" s="1" t="s">
        <v>15</v>
      </c>
      <c r="M10" s="1" t="s">
        <v>12</v>
      </c>
      <c r="N10" s="1" t="s">
        <v>101</v>
      </c>
      <c r="O10" s="1" t="s">
        <v>13</v>
      </c>
      <c r="P10" s="1" t="s">
        <v>101</v>
      </c>
      <c r="Q10" s="17" t="s">
        <v>12</v>
      </c>
      <c r="R10" s="22" t="s">
        <v>104</v>
      </c>
      <c r="S10" s="17" t="str">
        <f>vlookup($C10,Holidays!$A:$G,6)</f>
        <v>Watters</v>
      </c>
      <c r="T10" s="17" t="str">
        <f>vlookup($C10,Holidays!$A:$G,7)</f>
        <v>J. Witt</v>
      </c>
      <c r="U10" s="17">
        <f t="shared" ref="U10:X10" si="10">if(M10=$Q10,1,if($Q10 = "Tie",0.5,0))</f>
        <v>1</v>
      </c>
      <c r="V10" s="17">
        <f t="shared" si="10"/>
        <v>0</v>
      </c>
      <c r="W10" s="17">
        <f t="shared" si="10"/>
        <v>0</v>
      </c>
      <c r="X10" s="17">
        <f t="shared" si="10"/>
        <v>0</v>
      </c>
    </row>
    <row r="11">
      <c r="A11" s="13">
        <f>vlookup($B11,Matchdays!$A$2:$E$20,3)</f>
        <v>44709</v>
      </c>
      <c r="B11" s="1">
        <v>5.0</v>
      </c>
      <c r="C11" s="17">
        <f>vlookup($B11,Matchdays!$A$2:$E$20,2)</f>
        <v>1</v>
      </c>
      <c r="D11" s="17" t="str">
        <f>vlookup($C11,Holidays!$A:$G,2)</f>
        <v>Portugal</v>
      </c>
      <c r="E11" s="17" t="str">
        <f>vlookup($C11,Holidays!$A:$G,3)</f>
        <v>Amendoeira</v>
      </c>
      <c r="F11" s="17" t="str">
        <f>vlookup($B11,Matchdays!$A$2:$E$20,4)</f>
        <v>Faldo</v>
      </c>
      <c r="G11" s="17" t="str">
        <f>vlookup($B11,Matchdays!$A$2:$E$20,5)</f>
        <v>Singles</v>
      </c>
      <c r="H11" s="1">
        <v>7.0</v>
      </c>
      <c r="I11" s="1" t="s">
        <v>54</v>
      </c>
      <c r="K11" s="1" t="s">
        <v>20</v>
      </c>
      <c r="M11" s="1" t="s">
        <v>12</v>
      </c>
      <c r="N11" s="1" t="s">
        <v>101</v>
      </c>
      <c r="O11" s="1" t="s">
        <v>13</v>
      </c>
      <c r="P11" s="1" t="s">
        <v>101</v>
      </c>
      <c r="Q11" s="17" t="s">
        <v>13</v>
      </c>
      <c r="R11" s="22" t="s">
        <v>105</v>
      </c>
      <c r="S11" s="17" t="str">
        <f>vlookup($C11,Holidays!$A:$G,6)</f>
        <v>Watters</v>
      </c>
      <c r="T11" s="17" t="str">
        <f>vlookup($C11,Holidays!$A:$G,7)</f>
        <v>J. Witt</v>
      </c>
      <c r="U11" s="17">
        <f t="shared" ref="U11:X11" si="11">if(M11=$Q11,1,if($Q11 = "Tie",0.5,0))</f>
        <v>0</v>
      </c>
      <c r="V11" s="17">
        <f t="shared" si="11"/>
        <v>0</v>
      </c>
      <c r="W11" s="17">
        <f t="shared" si="11"/>
        <v>1</v>
      </c>
      <c r="X11" s="17">
        <f t="shared" si="11"/>
        <v>0</v>
      </c>
    </row>
    <row r="12">
      <c r="A12" s="13">
        <f>vlookup($B12,Matchdays!$A$2:$E$20,3)</f>
        <v>44709</v>
      </c>
      <c r="B12" s="1">
        <v>5.0</v>
      </c>
      <c r="C12" s="17">
        <f>vlookup($B12,Matchdays!$A$2:$E$20,2)</f>
        <v>1</v>
      </c>
      <c r="D12" s="17" t="str">
        <f>vlookup($C12,Holidays!$A:$G,2)</f>
        <v>Portugal</v>
      </c>
      <c r="E12" s="17" t="str">
        <f>vlookup($C12,Holidays!$A:$G,3)</f>
        <v>Amendoeira</v>
      </c>
      <c r="F12" s="17" t="str">
        <f>vlookup($B12,Matchdays!$A$2:$E$20,4)</f>
        <v>Faldo</v>
      </c>
      <c r="G12" s="17" t="str">
        <f>vlookup($B12,Matchdays!$A$2:$E$20,5)</f>
        <v>Singles</v>
      </c>
      <c r="H12" s="1">
        <v>8.0</v>
      </c>
      <c r="I12" s="1" t="s">
        <v>19</v>
      </c>
      <c r="K12" s="1" t="s">
        <v>20</v>
      </c>
      <c r="M12" s="1" t="s">
        <v>12</v>
      </c>
      <c r="N12" s="1" t="s">
        <v>101</v>
      </c>
      <c r="O12" s="1" t="s">
        <v>13</v>
      </c>
      <c r="P12" s="1" t="s">
        <v>101</v>
      </c>
      <c r="Q12" s="17" t="s">
        <v>12</v>
      </c>
      <c r="R12" s="22" t="s">
        <v>106</v>
      </c>
      <c r="S12" s="17" t="str">
        <f>vlookup($C12,Holidays!$A:$G,6)</f>
        <v>Watters</v>
      </c>
      <c r="T12" s="17" t="str">
        <f>vlookup($C12,Holidays!$A:$G,7)</f>
        <v>J. Witt</v>
      </c>
      <c r="U12" s="17">
        <f t="shared" ref="U12:X12" si="12">if(M12=$Q12,1,if($Q12 = "Tie",0.5,0))</f>
        <v>1</v>
      </c>
      <c r="V12" s="17">
        <f t="shared" si="12"/>
        <v>0</v>
      </c>
      <c r="W12" s="17">
        <f t="shared" si="12"/>
        <v>0</v>
      </c>
      <c r="X12" s="17">
        <f t="shared" si="12"/>
        <v>0</v>
      </c>
    </row>
    <row r="13">
      <c r="A13" s="13">
        <f>vlookup($B13,Matchdays!$A$2:$E$20,3)</f>
        <v>44709</v>
      </c>
      <c r="B13" s="1">
        <v>5.0</v>
      </c>
      <c r="C13" s="17">
        <f>vlookup($B13,Matchdays!$A$2:$E$20,2)</f>
        <v>1</v>
      </c>
      <c r="D13" s="17" t="str">
        <f>vlookup($C13,Holidays!$A:$G,2)</f>
        <v>Portugal</v>
      </c>
      <c r="E13" s="17" t="str">
        <f>vlookup($C13,Holidays!$A:$G,3)</f>
        <v>Amendoeira</v>
      </c>
      <c r="F13" s="17" t="str">
        <f>vlookup($B13,Matchdays!$A$2:$E$20,4)</f>
        <v>Faldo</v>
      </c>
      <c r="G13" s="17" t="str">
        <f>vlookup($B13,Matchdays!$A$2:$E$20,5)</f>
        <v>Singles</v>
      </c>
      <c r="H13" s="1">
        <v>9.0</v>
      </c>
      <c r="I13" s="1" t="s">
        <v>70</v>
      </c>
      <c r="K13" s="1" t="s">
        <v>48</v>
      </c>
      <c r="M13" s="1" t="s">
        <v>12</v>
      </c>
      <c r="N13" s="1" t="s">
        <v>101</v>
      </c>
      <c r="O13" s="1" t="s">
        <v>13</v>
      </c>
      <c r="P13" s="1" t="s">
        <v>101</v>
      </c>
      <c r="Q13" s="17" t="s">
        <v>13</v>
      </c>
      <c r="R13" s="22" t="s">
        <v>99</v>
      </c>
      <c r="S13" s="17" t="str">
        <f>vlookup($C13,Holidays!$A:$G,6)</f>
        <v>Watters</v>
      </c>
      <c r="T13" s="17" t="str">
        <f>vlookup($C13,Holidays!$A:$G,7)</f>
        <v>J. Witt</v>
      </c>
      <c r="U13" s="17">
        <f t="shared" ref="U13:X13" si="13">if(M13=$Q13,1,if($Q13 = "Tie",0.5,0))</f>
        <v>0</v>
      </c>
      <c r="V13" s="17">
        <f t="shared" si="13"/>
        <v>0</v>
      </c>
      <c r="W13" s="17">
        <f t="shared" si="13"/>
        <v>1</v>
      </c>
      <c r="X13" s="17">
        <f t="shared" si="13"/>
        <v>0</v>
      </c>
    </row>
    <row r="14">
      <c r="A14" s="13">
        <f>vlookup($B14,Matchdays!$A$2:$E$20,3)</f>
        <v>44709</v>
      </c>
      <c r="B14" s="1">
        <v>5.0</v>
      </c>
      <c r="C14" s="17">
        <f>vlookup($B14,Matchdays!$A$2:$E$20,2)</f>
        <v>1</v>
      </c>
      <c r="D14" s="17" t="str">
        <f>vlookup($C14,Holidays!$A:$G,2)</f>
        <v>Portugal</v>
      </c>
      <c r="E14" s="17" t="str">
        <f>vlookup($C14,Holidays!$A:$G,3)</f>
        <v>Amendoeira</v>
      </c>
      <c r="F14" s="17" t="str">
        <f>vlookup($B14,Matchdays!$A$2:$E$20,4)</f>
        <v>Faldo</v>
      </c>
      <c r="G14" s="17" t="str">
        <f>vlookup($B14,Matchdays!$A$2:$E$20,5)</f>
        <v>Singles</v>
      </c>
      <c r="H14" s="1">
        <v>10.0</v>
      </c>
      <c r="I14" s="1" t="s">
        <v>23</v>
      </c>
      <c r="K14" s="1" t="s">
        <v>26</v>
      </c>
      <c r="M14" s="1" t="s">
        <v>12</v>
      </c>
      <c r="N14" s="1" t="s">
        <v>101</v>
      </c>
      <c r="O14" s="1" t="s">
        <v>13</v>
      </c>
      <c r="P14" s="1" t="s">
        <v>101</v>
      </c>
      <c r="Q14" s="17" t="s">
        <v>12</v>
      </c>
      <c r="R14" s="22" t="s">
        <v>105</v>
      </c>
      <c r="S14" s="17" t="str">
        <f>vlookup($C14,Holidays!$A:$G,6)</f>
        <v>Watters</v>
      </c>
      <c r="T14" s="17" t="str">
        <f>vlookup($C14,Holidays!$A:$G,7)</f>
        <v>J. Witt</v>
      </c>
      <c r="U14" s="17">
        <f t="shared" ref="U14:X14" si="14">if(M14=$Q14,1,if($Q14 = "Tie",0.5,0))</f>
        <v>1</v>
      </c>
      <c r="V14" s="17">
        <f t="shared" si="14"/>
        <v>0</v>
      </c>
      <c r="W14" s="17">
        <f t="shared" si="14"/>
        <v>0</v>
      </c>
      <c r="X14" s="17">
        <f t="shared" si="14"/>
        <v>0</v>
      </c>
      <c r="AC14" s="1">
        <v>1.0</v>
      </c>
    </row>
    <row r="15">
      <c r="A15" s="13">
        <f>vlookup($B15,Matchdays!$A$2:$E$20,3)</f>
        <v>44709</v>
      </c>
      <c r="B15" s="1">
        <v>5.0</v>
      </c>
      <c r="C15" s="17">
        <f>vlookup($B15,Matchdays!$A$2:$E$20,2)</f>
        <v>1</v>
      </c>
      <c r="D15" s="17" t="str">
        <f>vlookup($C15,Holidays!$A:$G,2)</f>
        <v>Portugal</v>
      </c>
      <c r="E15" s="17" t="str">
        <f>vlookup($C15,Holidays!$A:$G,3)</f>
        <v>Amendoeira</v>
      </c>
      <c r="F15" s="17" t="str">
        <f>vlookup($B15,Matchdays!$A$2:$E$20,4)</f>
        <v>Faldo</v>
      </c>
      <c r="G15" s="17" t="str">
        <f>vlookup($B15,Matchdays!$A$2:$E$20,5)</f>
        <v>Singles</v>
      </c>
      <c r="H15" s="1">
        <v>11.0</v>
      </c>
      <c r="I15" s="1" t="s">
        <v>43</v>
      </c>
      <c r="K15" s="1" t="s">
        <v>22</v>
      </c>
      <c r="M15" s="1" t="s">
        <v>12</v>
      </c>
      <c r="N15" s="1" t="s">
        <v>101</v>
      </c>
      <c r="O15" s="1" t="s">
        <v>13</v>
      </c>
      <c r="P15" s="1" t="s">
        <v>101</v>
      </c>
      <c r="Q15" s="17" t="s">
        <v>13</v>
      </c>
      <c r="R15" s="22" t="s">
        <v>99</v>
      </c>
      <c r="S15" s="17" t="str">
        <f>vlookup($C15,Holidays!$A:$G,6)</f>
        <v>Watters</v>
      </c>
      <c r="T15" s="17" t="str">
        <f>vlookup($C15,Holidays!$A:$G,7)</f>
        <v>J. Witt</v>
      </c>
      <c r="U15" s="17">
        <f t="shared" ref="U15:X15" si="15">if(M15=$Q15,1,if($Q15 = "Tie",0.5,0))</f>
        <v>0</v>
      </c>
      <c r="V15" s="17">
        <f t="shared" si="15"/>
        <v>0</v>
      </c>
      <c r="W15" s="17">
        <f t="shared" si="15"/>
        <v>1</v>
      </c>
      <c r="X15" s="17">
        <f t="shared" si="15"/>
        <v>0</v>
      </c>
    </row>
    <row r="16">
      <c r="A16" s="13">
        <f>vlookup($B16,Matchdays!$A$2:$E$20,3)</f>
        <v>44709</v>
      </c>
      <c r="B16" s="1">
        <v>5.0</v>
      </c>
      <c r="C16" s="17">
        <f>vlookup($B16,Matchdays!$A$2:$E$20,2)</f>
        <v>1</v>
      </c>
      <c r="D16" s="17" t="str">
        <f>vlookup($C16,Holidays!$A:$G,2)</f>
        <v>Portugal</v>
      </c>
      <c r="E16" s="17" t="str">
        <f>vlookup($C16,Holidays!$A:$G,3)</f>
        <v>Amendoeira</v>
      </c>
      <c r="F16" s="17" t="str">
        <f>vlookup($B16,Matchdays!$A$2:$E$20,4)</f>
        <v>Faldo</v>
      </c>
      <c r="G16" s="17" t="str">
        <f>vlookup($B16,Matchdays!$A$2:$E$20,5)</f>
        <v>Singles</v>
      </c>
      <c r="H16" s="1">
        <v>12.0</v>
      </c>
      <c r="I16" s="1" t="s">
        <v>16</v>
      </c>
      <c r="K16" s="1" t="s">
        <v>27</v>
      </c>
      <c r="M16" s="1" t="s">
        <v>12</v>
      </c>
      <c r="N16" s="1" t="s">
        <v>101</v>
      </c>
      <c r="O16" s="1" t="s">
        <v>13</v>
      </c>
      <c r="P16" s="1" t="s">
        <v>101</v>
      </c>
      <c r="Q16" s="17" t="s">
        <v>107</v>
      </c>
      <c r="R16" s="22" t="s">
        <v>108</v>
      </c>
      <c r="S16" s="17" t="str">
        <f>vlookup($C16,Holidays!$A:$G,6)</f>
        <v>Watters</v>
      </c>
      <c r="T16" s="17" t="str">
        <f>vlookup($C16,Holidays!$A:$G,7)</f>
        <v>J. Witt</v>
      </c>
      <c r="U16" s="17">
        <f t="shared" ref="U16:X16" si="16">if(M16=$Q16,1,if($Q16 = "Tie",0.5,0))</f>
        <v>0.5</v>
      </c>
      <c r="V16" s="17">
        <f t="shared" si="16"/>
        <v>0.5</v>
      </c>
      <c r="W16" s="17">
        <f t="shared" si="16"/>
        <v>0.5</v>
      </c>
      <c r="X16" s="17">
        <f t="shared" si="16"/>
        <v>0.5</v>
      </c>
      <c r="AE16" s="1">
        <v>1.0</v>
      </c>
    </row>
    <row r="17">
      <c r="A17" s="13">
        <f>vlookup($B17,Matchdays!$A$2:$E$20,3)</f>
        <v>44710</v>
      </c>
      <c r="B17" s="1">
        <v>6.0</v>
      </c>
      <c r="C17" s="17">
        <f>vlookup($B17,Matchdays!$A$2:$E$20,2)</f>
        <v>1</v>
      </c>
      <c r="D17" s="17" t="str">
        <f>vlookup($C17,Holidays!$A:$G,2)</f>
        <v>Portugal</v>
      </c>
      <c r="E17" s="17" t="str">
        <f>vlookup($C17,Holidays!$A:$G,3)</f>
        <v>Amendoeira</v>
      </c>
      <c r="F17" s="17" t="str">
        <f>vlookup($B17,Matchdays!$A$2:$E$20,4)</f>
        <v>O'Connor</v>
      </c>
      <c r="G17" s="17" t="str">
        <f>vlookup($B17,Matchdays!$A$2:$E$20,5)</f>
        <v>Texas Scramble</v>
      </c>
      <c r="H17" s="1">
        <v>13.0</v>
      </c>
      <c r="I17" s="1" t="s">
        <v>20</v>
      </c>
      <c r="J17" s="1" t="s">
        <v>15</v>
      </c>
      <c r="K17" s="1" t="s">
        <v>27</v>
      </c>
      <c r="M17" s="1" t="s">
        <v>13</v>
      </c>
      <c r="N17" s="1" t="s">
        <v>13</v>
      </c>
      <c r="O17" s="1" t="s">
        <v>13</v>
      </c>
      <c r="Q17" s="1">
        <v>1.0</v>
      </c>
      <c r="R17" s="23">
        <v>-2.0</v>
      </c>
      <c r="S17" s="17" t="str">
        <f>vlookup($C17,Holidays!$A:$G,6)</f>
        <v>Watters</v>
      </c>
      <c r="T17" s="17" t="str">
        <f>vlookup($C17,Holidays!$A:$G,7)</f>
        <v>J. Witt</v>
      </c>
      <c r="U17" s="21">
        <v>1.0</v>
      </c>
      <c r="V17" s="21">
        <v>1.0</v>
      </c>
      <c r="W17" s="21">
        <v>1.0</v>
      </c>
      <c r="X17" s="19">
        <f t="shared" ref="X17:X18" si="17">if(P17=$Q$2,1,0)</f>
        <v>0</v>
      </c>
    </row>
    <row r="18">
      <c r="A18" s="13">
        <f>vlookup($B18,Matchdays!$A$2:$E$20,3)</f>
        <v>44710</v>
      </c>
      <c r="B18" s="1">
        <v>6.0</v>
      </c>
      <c r="C18" s="17">
        <f>vlookup($B18,Matchdays!$A$2:$E$20,2)</f>
        <v>1</v>
      </c>
      <c r="D18" s="17" t="str">
        <f>vlookup($C18,Holidays!$A:$G,2)</f>
        <v>Portugal</v>
      </c>
      <c r="E18" s="17" t="str">
        <f>vlookup($C18,Holidays!$A:$G,3)</f>
        <v>Amendoeira</v>
      </c>
      <c r="F18" s="17" t="str">
        <f>vlookup($B18,Matchdays!$A$2:$E$20,4)</f>
        <v>O'Connor</v>
      </c>
      <c r="G18" s="17" t="str">
        <f>vlookup($B18,Matchdays!$A$2:$E$20,5)</f>
        <v>Texas Scramble</v>
      </c>
      <c r="H18" s="1">
        <v>13.0</v>
      </c>
      <c r="I18" s="1" t="s">
        <v>16</v>
      </c>
      <c r="J18" s="1" t="s">
        <v>19</v>
      </c>
      <c r="K18" s="1" t="s">
        <v>70</v>
      </c>
      <c r="M18" s="1" t="s">
        <v>12</v>
      </c>
      <c r="N18" s="1" t="s">
        <v>12</v>
      </c>
      <c r="O18" s="1" t="s">
        <v>12</v>
      </c>
      <c r="Q18" s="1">
        <v>2.0</v>
      </c>
      <c r="R18" s="23">
        <v>0.0</v>
      </c>
      <c r="S18" s="17" t="str">
        <f>vlookup($C18,Holidays!$A:$G,6)</f>
        <v>Watters</v>
      </c>
      <c r="T18" s="17" t="str">
        <f>vlookup($C18,Holidays!$A:$G,7)</f>
        <v>J. Witt</v>
      </c>
      <c r="U18" s="21">
        <v>0.5</v>
      </c>
      <c r="V18" s="21">
        <v>0.5</v>
      </c>
      <c r="W18" s="21">
        <v>0.5</v>
      </c>
      <c r="X18" s="19">
        <f t="shared" si="17"/>
        <v>0</v>
      </c>
    </row>
    <row r="19">
      <c r="A19" s="13">
        <f>vlookup($B19,Matchdays!$A$2:$E$20,3)</f>
        <v>44710</v>
      </c>
      <c r="B19" s="1">
        <v>6.0</v>
      </c>
      <c r="C19" s="17">
        <f>vlookup($B19,Matchdays!$A$2:$E$20,2)</f>
        <v>1</v>
      </c>
      <c r="D19" s="17" t="str">
        <f>vlookup($C19,Holidays!$A:$G,2)</f>
        <v>Portugal</v>
      </c>
      <c r="E19" s="17" t="str">
        <f>vlookup($C19,Holidays!$A:$G,3)</f>
        <v>Amendoeira</v>
      </c>
      <c r="F19" s="17" t="str">
        <f>vlookup($B19,Matchdays!$A$2:$E$20,4)</f>
        <v>O'Connor</v>
      </c>
      <c r="G19" s="17" t="str">
        <f>vlookup($B19,Matchdays!$A$2:$E$20,5)</f>
        <v>Texas Scramble</v>
      </c>
      <c r="H19" s="1">
        <v>13.0</v>
      </c>
      <c r="I19" s="1" t="s">
        <v>14</v>
      </c>
      <c r="J19" s="1" t="s">
        <v>54</v>
      </c>
      <c r="K19" s="1" t="s">
        <v>43</v>
      </c>
      <c r="L19" s="1" t="s">
        <v>23</v>
      </c>
      <c r="M19" s="1" t="s">
        <v>12</v>
      </c>
      <c r="N19" s="1" t="s">
        <v>12</v>
      </c>
      <c r="O19" s="1" t="s">
        <v>12</v>
      </c>
      <c r="P19" s="1" t="s">
        <v>12</v>
      </c>
      <c r="Q19" s="1">
        <v>2.0</v>
      </c>
      <c r="R19" s="23">
        <v>0.0</v>
      </c>
      <c r="S19" s="17" t="str">
        <f>vlookup($C19,Holidays!$A:$G,6)</f>
        <v>Watters</v>
      </c>
      <c r="T19" s="17" t="str">
        <f>vlookup($C19,Holidays!$A:$G,7)</f>
        <v>J. Witt</v>
      </c>
      <c r="U19" s="21">
        <v>0.375</v>
      </c>
      <c r="V19" s="21">
        <v>0.375</v>
      </c>
      <c r="W19" s="21">
        <v>0.375</v>
      </c>
      <c r="X19" s="21">
        <v>0.375</v>
      </c>
    </row>
    <row r="20">
      <c r="A20" s="13">
        <f>vlookup($B20,Matchdays!$A$2:$E$20,3)</f>
        <v>44710</v>
      </c>
      <c r="B20" s="1">
        <v>6.0</v>
      </c>
      <c r="C20" s="17">
        <f>vlookup($B20,Matchdays!$A$2:$E$20,2)</f>
        <v>1</v>
      </c>
      <c r="D20" s="17" t="str">
        <f>vlookup($C20,Holidays!$A:$G,2)</f>
        <v>Portugal</v>
      </c>
      <c r="E20" s="17" t="str">
        <f>vlookup($C20,Holidays!$A:$G,3)</f>
        <v>Amendoeira</v>
      </c>
      <c r="F20" s="17" t="str">
        <f>vlookup($B20,Matchdays!$A$2:$E$20,4)</f>
        <v>O'Connor</v>
      </c>
      <c r="G20" s="17" t="str">
        <f>vlookup($B20,Matchdays!$A$2:$E$20,5)</f>
        <v>Texas Scramble</v>
      </c>
      <c r="H20" s="1">
        <v>13.0</v>
      </c>
      <c r="I20" s="1" t="s">
        <v>22</v>
      </c>
      <c r="J20" s="1" t="s">
        <v>48</v>
      </c>
      <c r="K20" s="1" t="s">
        <v>26</v>
      </c>
      <c r="M20" s="1" t="s">
        <v>13</v>
      </c>
      <c r="N20" s="1" t="s">
        <v>13</v>
      </c>
      <c r="O20" s="1" t="s">
        <v>13</v>
      </c>
      <c r="Q20" s="1">
        <v>4.0</v>
      </c>
      <c r="R20" s="18">
        <f>4</f>
        <v>4</v>
      </c>
      <c r="S20" s="17" t="str">
        <f>vlookup($C20,Holidays!$A:$G,6)</f>
        <v>Watters</v>
      </c>
      <c r="T20" s="17" t="str">
        <f>vlookup($C20,Holidays!$A:$G,7)</f>
        <v>J. Witt</v>
      </c>
      <c r="U20" s="19">
        <f t="shared" ref="U20:X20" si="18">if(M20=$Q$2,1,0)</f>
        <v>0</v>
      </c>
      <c r="V20" s="19">
        <f t="shared" si="18"/>
        <v>0</v>
      </c>
      <c r="W20" s="19">
        <f t="shared" si="18"/>
        <v>0</v>
      </c>
      <c r="X20" s="19">
        <f t="shared" si="18"/>
        <v>0</v>
      </c>
    </row>
    <row r="21">
      <c r="A21" s="13">
        <f>vlookup($B21,Matchdays!$A$2:$E$20,3)</f>
        <v>45071</v>
      </c>
      <c r="B21" s="1">
        <v>7.0</v>
      </c>
      <c r="C21" s="17">
        <f>vlookup($B21,Matchdays!$A$2:$E$20,2)</f>
        <v>2</v>
      </c>
      <c r="D21" s="17" t="str">
        <f>vlookup($C21,Holidays!$A:$G,2)</f>
        <v>Spain</v>
      </c>
      <c r="E21" s="17" t="str">
        <f>vlookup($C21,Holidays!$A:$G,3)</f>
        <v>Murcia</v>
      </c>
      <c r="F21" s="17" t="str">
        <f>vlookup($B21,Matchdays!$A$2:$E$20,4)</f>
        <v>Hacienda del Almo</v>
      </c>
      <c r="G21" s="17" t="str">
        <f>vlookup($B21,Matchdays!$A$2:$E$20,5)</f>
        <v>2x2 Scramble</v>
      </c>
      <c r="H21" s="1">
        <v>14.0</v>
      </c>
      <c r="I21" s="1" t="s">
        <v>54</v>
      </c>
      <c r="J21" s="1" t="s">
        <v>23</v>
      </c>
      <c r="K21" s="1" t="s">
        <v>26</v>
      </c>
      <c r="L21" s="1" t="s">
        <v>48</v>
      </c>
      <c r="M21" s="1" t="s">
        <v>12</v>
      </c>
      <c r="N21" s="1" t="s">
        <v>12</v>
      </c>
      <c r="O21" s="1" t="s">
        <v>13</v>
      </c>
      <c r="P21" s="1" t="s">
        <v>13</v>
      </c>
      <c r="Q21" s="17" t="s">
        <v>12</v>
      </c>
      <c r="R21" s="6" t="s">
        <v>109</v>
      </c>
      <c r="S21" s="17" t="str">
        <f>vlookup($C21,Holidays!$A:$G,6)</f>
        <v>D. Witt</v>
      </c>
      <c r="T21" s="17" t="str">
        <f>vlookup($C21,Holidays!$A:$G,7)</f>
        <v>McLachlan</v>
      </c>
      <c r="U21" s="17">
        <f t="shared" ref="U21:X21" si="19">if(M21=$Q21,1,if($Q21 = "Tie",0.5,0))</f>
        <v>1</v>
      </c>
      <c r="V21" s="17">
        <f t="shared" si="19"/>
        <v>1</v>
      </c>
      <c r="W21" s="17">
        <f t="shared" si="19"/>
        <v>0</v>
      </c>
      <c r="X21" s="17">
        <f t="shared" si="19"/>
        <v>0</v>
      </c>
    </row>
    <row r="22">
      <c r="A22" s="13">
        <f>vlookup($B22,Matchdays!$A$2:$E$20,3)</f>
        <v>45071</v>
      </c>
      <c r="B22" s="1">
        <v>7.0</v>
      </c>
      <c r="C22" s="17">
        <f>vlookup($B22,Matchdays!$A$2:$E$20,2)</f>
        <v>2</v>
      </c>
      <c r="D22" s="17" t="str">
        <f>vlookup($C22,Holidays!$A:$G,2)</f>
        <v>Spain</v>
      </c>
      <c r="E22" s="17" t="str">
        <f>vlookup($C22,Holidays!$A:$G,3)</f>
        <v>Murcia</v>
      </c>
      <c r="F22" s="17" t="str">
        <f>vlookup($B22,Matchdays!$A$2:$E$20,4)</f>
        <v>Hacienda del Almo</v>
      </c>
      <c r="G22" s="17" t="str">
        <f>vlookup($B22,Matchdays!$A$2:$E$20,5)</f>
        <v>2x2 Scramble</v>
      </c>
      <c r="H22" s="1">
        <v>15.0</v>
      </c>
      <c r="I22" s="1" t="s">
        <v>16</v>
      </c>
      <c r="J22" s="1" t="s">
        <v>43</v>
      </c>
      <c r="K22" s="1" t="s">
        <v>20</v>
      </c>
      <c r="L22" s="1" t="s">
        <v>27</v>
      </c>
      <c r="M22" s="1" t="s">
        <v>12</v>
      </c>
      <c r="N22" s="1" t="s">
        <v>12</v>
      </c>
      <c r="O22" s="1" t="s">
        <v>13</v>
      </c>
      <c r="P22" s="1" t="s">
        <v>13</v>
      </c>
      <c r="Q22" s="17" t="s">
        <v>12</v>
      </c>
      <c r="R22" s="6" t="s">
        <v>100</v>
      </c>
      <c r="S22" s="17" t="str">
        <f>vlookup($C22,Holidays!$A:$G,6)</f>
        <v>D. Witt</v>
      </c>
      <c r="T22" s="17" t="str">
        <f>vlookup($C22,Holidays!$A:$G,7)</f>
        <v>McLachlan</v>
      </c>
      <c r="U22" s="17">
        <f t="shared" ref="U22:X22" si="20">if(M22=$Q22,1,if($Q22 = "Tie",0.5,0))</f>
        <v>1</v>
      </c>
      <c r="V22" s="17">
        <f t="shared" si="20"/>
        <v>1</v>
      </c>
      <c r="W22" s="17">
        <f t="shared" si="20"/>
        <v>0</v>
      </c>
      <c r="X22" s="17">
        <f t="shared" si="20"/>
        <v>0</v>
      </c>
    </row>
    <row r="23">
      <c r="A23" s="13">
        <f>vlookup($B23,Matchdays!$A$2:$E$20,3)</f>
        <v>45071</v>
      </c>
      <c r="B23" s="1">
        <v>7.0</v>
      </c>
      <c r="C23" s="17">
        <f>vlookup($B23,Matchdays!$A$2:$E$20,2)</f>
        <v>2</v>
      </c>
      <c r="D23" s="17" t="str">
        <f>vlookup($C23,Holidays!$A:$G,2)</f>
        <v>Spain</v>
      </c>
      <c r="E23" s="17" t="str">
        <f>vlookup($C23,Holidays!$A:$G,3)</f>
        <v>Murcia</v>
      </c>
      <c r="F23" s="17" t="str">
        <f>vlookup($B23,Matchdays!$A$2:$E$20,4)</f>
        <v>Hacienda del Almo</v>
      </c>
      <c r="G23" s="17" t="str">
        <f>vlookup($B23,Matchdays!$A$2:$E$20,5)</f>
        <v>2x2 Scramble</v>
      </c>
      <c r="H23" s="1">
        <v>16.0</v>
      </c>
      <c r="I23" s="1" t="s">
        <v>19</v>
      </c>
      <c r="J23" s="1" t="s">
        <v>14</v>
      </c>
      <c r="K23" s="1" t="s">
        <v>15</v>
      </c>
      <c r="L23" s="1" t="s">
        <v>22</v>
      </c>
      <c r="M23" s="1" t="s">
        <v>12</v>
      </c>
      <c r="N23" s="1" t="s">
        <v>12</v>
      </c>
      <c r="O23" s="1" t="s">
        <v>13</v>
      </c>
      <c r="P23" s="1" t="s">
        <v>13</v>
      </c>
      <c r="Q23" s="17" t="s">
        <v>13</v>
      </c>
      <c r="R23" s="6" t="s">
        <v>110</v>
      </c>
      <c r="S23" s="17" t="str">
        <f>vlookup($C23,Holidays!$A:$G,6)</f>
        <v>D. Witt</v>
      </c>
      <c r="T23" s="17" t="str">
        <f>vlookup($C23,Holidays!$A:$G,7)</f>
        <v>McLachlan</v>
      </c>
      <c r="U23" s="17">
        <f t="shared" ref="U23:X23" si="21">if(M23=$Q23,1,if($Q23 = "Tie",0.5,0))</f>
        <v>0</v>
      </c>
      <c r="V23" s="17">
        <f t="shared" si="21"/>
        <v>0</v>
      </c>
      <c r="W23" s="17">
        <f t="shared" si="21"/>
        <v>1</v>
      </c>
      <c r="X23" s="17">
        <f t="shared" si="21"/>
        <v>1</v>
      </c>
      <c r="Y23" s="1">
        <v>1.0</v>
      </c>
    </row>
    <row r="24">
      <c r="A24" s="13">
        <f>vlookup($B24,Matchdays!$A$2:$E$20,3)</f>
        <v>45072</v>
      </c>
      <c r="B24" s="1">
        <v>8.0</v>
      </c>
      <c r="C24" s="17">
        <f>vlookup($B24,Matchdays!$A$2:$E$20,2)</f>
        <v>2</v>
      </c>
      <c r="D24" s="17" t="str">
        <f>vlookup($C24,Holidays!$A:$G,2)</f>
        <v>Spain</v>
      </c>
      <c r="E24" s="17" t="str">
        <f>vlookup($C24,Holidays!$A:$G,3)</f>
        <v>Murcia</v>
      </c>
      <c r="F24" s="17" t="str">
        <f>vlookup($B24,Matchdays!$A$2:$E$20,4)</f>
        <v>Hacienda del Almo</v>
      </c>
      <c r="G24" s="17" t="str">
        <f>vlookup($B24,Matchdays!$A$2:$E$20,5)</f>
        <v>Fourball</v>
      </c>
      <c r="H24" s="1">
        <v>17.0</v>
      </c>
      <c r="I24" s="1" t="s">
        <v>16</v>
      </c>
      <c r="J24" s="1" t="s">
        <v>14</v>
      </c>
      <c r="K24" s="1" t="s">
        <v>15</v>
      </c>
      <c r="L24" s="1" t="s">
        <v>20</v>
      </c>
      <c r="M24" s="1" t="s">
        <v>12</v>
      </c>
      <c r="N24" s="1" t="s">
        <v>12</v>
      </c>
      <c r="O24" s="1" t="s">
        <v>13</v>
      </c>
      <c r="P24" s="1" t="s">
        <v>13</v>
      </c>
      <c r="Q24" s="17" t="s">
        <v>107</v>
      </c>
      <c r="R24" s="6" t="s">
        <v>108</v>
      </c>
      <c r="S24" s="17" t="str">
        <f>vlookup($C24,Holidays!$A:$G,6)</f>
        <v>D. Witt</v>
      </c>
      <c r="T24" s="17" t="str">
        <f>vlookup($C24,Holidays!$A:$G,7)</f>
        <v>McLachlan</v>
      </c>
      <c r="U24" s="17">
        <f t="shared" ref="U24:X24" si="22">if(M24=$Q24,1,if($Q24 = "Tie",0.5,0))</f>
        <v>0.5</v>
      </c>
      <c r="V24" s="17">
        <f t="shared" si="22"/>
        <v>0.5</v>
      </c>
      <c r="W24" s="17">
        <f t="shared" si="22"/>
        <v>0.5</v>
      </c>
      <c r="X24" s="17">
        <f t="shared" si="22"/>
        <v>0.5</v>
      </c>
      <c r="AC24" s="1">
        <v>1.0</v>
      </c>
      <c r="AE24" s="1">
        <v>1.0</v>
      </c>
    </row>
    <row r="25">
      <c r="A25" s="13">
        <f>vlookup($B25,Matchdays!$A$2:$E$20,3)</f>
        <v>45072</v>
      </c>
      <c r="B25" s="1">
        <v>8.0</v>
      </c>
      <c r="C25" s="17">
        <f>vlookup($B25,Matchdays!$A$2:$E$20,2)</f>
        <v>2</v>
      </c>
      <c r="D25" s="17" t="str">
        <f>vlookup($C25,Holidays!$A:$G,2)</f>
        <v>Spain</v>
      </c>
      <c r="E25" s="17" t="str">
        <f>vlookup($C25,Holidays!$A:$G,3)</f>
        <v>Murcia</v>
      </c>
      <c r="F25" s="17" t="str">
        <f>vlookup($B25,Matchdays!$A$2:$E$20,4)</f>
        <v>Hacienda del Almo</v>
      </c>
      <c r="G25" s="17" t="str">
        <f>vlookup($B25,Matchdays!$A$2:$E$20,5)</f>
        <v>Fourball</v>
      </c>
      <c r="H25" s="1">
        <v>18.0</v>
      </c>
      <c r="I25" s="1" t="s">
        <v>54</v>
      </c>
      <c r="J25" s="1" t="s">
        <v>23</v>
      </c>
      <c r="K25" s="1" t="s">
        <v>48</v>
      </c>
      <c r="L25" s="1" t="s">
        <v>22</v>
      </c>
      <c r="M25" s="1" t="s">
        <v>12</v>
      </c>
      <c r="N25" s="1" t="s">
        <v>12</v>
      </c>
      <c r="O25" s="1" t="s">
        <v>13</v>
      </c>
      <c r="P25" s="1" t="s">
        <v>13</v>
      </c>
      <c r="Q25" s="17" t="s">
        <v>12</v>
      </c>
      <c r="R25" s="6" t="s">
        <v>111</v>
      </c>
      <c r="S25" s="17" t="str">
        <f>vlookup($C25,Holidays!$A:$G,6)</f>
        <v>D. Witt</v>
      </c>
      <c r="T25" s="17" t="str">
        <f>vlookup($C25,Holidays!$A:$G,7)</f>
        <v>McLachlan</v>
      </c>
      <c r="U25" s="17">
        <f t="shared" ref="U25:X25" si="23">if(M25=$Q25,1,if($Q25 = "Tie",0.5,0))</f>
        <v>1</v>
      </c>
      <c r="V25" s="17">
        <f t="shared" si="23"/>
        <v>1</v>
      </c>
      <c r="W25" s="17">
        <f t="shared" si="23"/>
        <v>0</v>
      </c>
      <c r="X25" s="17">
        <f t="shared" si="23"/>
        <v>0</v>
      </c>
    </row>
    <row r="26">
      <c r="A26" s="13">
        <f>vlookup($B26,Matchdays!$A$2:$E$20,3)</f>
        <v>45072</v>
      </c>
      <c r="B26" s="1">
        <v>8.0</v>
      </c>
      <c r="C26" s="17">
        <f>vlookup($B26,Matchdays!$A$2:$E$20,2)</f>
        <v>2</v>
      </c>
      <c r="D26" s="17" t="str">
        <f>vlookup($C26,Holidays!$A:$G,2)</f>
        <v>Spain</v>
      </c>
      <c r="E26" s="17" t="str">
        <f>vlookup($C26,Holidays!$A:$G,3)</f>
        <v>Murcia</v>
      </c>
      <c r="F26" s="17" t="str">
        <f>vlookup($B26,Matchdays!$A$2:$E$20,4)</f>
        <v>Hacienda del Almo</v>
      </c>
      <c r="G26" s="17" t="str">
        <f>vlookup($B26,Matchdays!$A$2:$E$20,5)</f>
        <v>Fourball</v>
      </c>
      <c r="H26" s="1">
        <v>19.0</v>
      </c>
      <c r="I26" s="1" t="s">
        <v>19</v>
      </c>
      <c r="J26" s="1" t="s">
        <v>43</v>
      </c>
      <c r="K26" s="1" t="s">
        <v>26</v>
      </c>
      <c r="L26" s="1" t="s">
        <v>27</v>
      </c>
      <c r="M26" s="1" t="s">
        <v>12</v>
      </c>
      <c r="N26" s="1" t="s">
        <v>12</v>
      </c>
      <c r="O26" s="1" t="s">
        <v>13</v>
      </c>
      <c r="P26" s="1" t="s">
        <v>13</v>
      </c>
      <c r="Q26" s="17" t="s">
        <v>13</v>
      </c>
      <c r="R26" s="6" t="s">
        <v>110</v>
      </c>
      <c r="S26" s="17" t="str">
        <f>vlookup($C26,Holidays!$A:$G,6)</f>
        <v>D. Witt</v>
      </c>
      <c r="T26" s="17" t="str">
        <f>vlookup($C26,Holidays!$A:$G,7)</f>
        <v>McLachlan</v>
      </c>
      <c r="U26" s="17">
        <f t="shared" ref="U26:X26" si="24">if(M26=$Q26,1,if($Q26 = "Tie",0.5,0))</f>
        <v>0</v>
      </c>
      <c r="V26" s="17">
        <f t="shared" si="24"/>
        <v>0</v>
      </c>
      <c r="W26" s="17">
        <f t="shared" si="24"/>
        <v>1</v>
      </c>
      <c r="X26" s="17">
        <f t="shared" si="24"/>
        <v>1</v>
      </c>
    </row>
    <row r="27">
      <c r="A27" s="13">
        <f>vlookup($B27,Matchdays!$A$2:$E$20,3)</f>
        <v>45073</v>
      </c>
      <c r="B27" s="1">
        <v>9.0</v>
      </c>
      <c r="C27" s="17">
        <f>vlookup($B27,Matchdays!$A$2:$E$20,2)</f>
        <v>2</v>
      </c>
      <c r="D27" s="17" t="str">
        <f>vlookup($C27,Holidays!$A:$G,2)</f>
        <v>Spain</v>
      </c>
      <c r="E27" s="17" t="str">
        <f>vlookup($C27,Holidays!$A:$G,3)</f>
        <v>Murcia</v>
      </c>
      <c r="F27" s="17" t="str">
        <f>vlookup($B27,Matchdays!$A$2:$E$20,4)</f>
        <v>Saurines</v>
      </c>
      <c r="G27" s="17" t="str">
        <f>vlookup($B27,Matchdays!$A$2:$E$20,5)</f>
        <v>Singles</v>
      </c>
      <c r="H27" s="1">
        <v>20.0</v>
      </c>
      <c r="I27" s="1" t="s">
        <v>19</v>
      </c>
      <c r="K27" s="1" t="s">
        <v>20</v>
      </c>
      <c r="M27" s="1" t="s">
        <v>12</v>
      </c>
      <c r="N27" s="1" t="s">
        <v>101</v>
      </c>
      <c r="O27" s="1" t="s">
        <v>13</v>
      </c>
      <c r="P27" s="1" t="s">
        <v>101</v>
      </c>
      <c r="Q27" s="17" t="s">
        <v>13</v>
      </c>
      <c r="R27" s="6" t="s">
        <v>100</v>
      </c>
      <c r="S27" s="17" t="str">
        <f>vlookup($C27,Holidays!$A:$G,6)</f>
        <v>D. Witt</v>
      </c>
      <c r="T27" s="17" t="str">
        <f>vlookup($C27,Holidays!$A:$G,7)</f>
        <v>McLachlan</v>
      </c>
      <c r="U27" s="17">
        <f t="shared" ref="U27:X27" si="25">if(M27=$Q27,1,if($Q27 = "Tie",0.5,0))</f>
        <v>0</v>
      </c>
      <c r="V27" s="17">
        <f t="shared" si="25"/>
        <v>0</v>
      </c>
      <c r="W27" s="17">
        <f t="shared" si="25"/>
        <v>1</v>
      </c>
      <c r="X27" s="17">
        <f t="shared" si="25"/>
        <v>0</v>
      </c>
      <c r="AE27" s="1">
        <v>1.0</v>
      </c>
    </row>
    <row r="28">
      <c r="A28" s="13">
        <f>vlookup($B28,Matchdays!$A$2:$E$20,3)</f>
        <v>45073</v>
      </c>
      <c r="B28" s="1">
        <v>9.0</v>
      </c>
      <c r="C28" s="17">
        <f>vlookup($B28,Matchdays!$A$2:$E$20,2)</f>
        <v>2</v>
      </c>
      <c r="D28" s="17" t="str">
        <f>vlookup($C28,Holidays!$A:$G,2)</f>
        <v>Spain</v>
      </c>
      <c r="E28" s="17" t="str">
        <f>vlookup($C28,Holidays!$A:$G,3)</f>
        <v>Murcia</v>
      </c>
      <c r="F28" s="17" t="str">
        <f>vlookup($B28,Matchdays!$A$2:$E$20,4)</f>
        <v>Saurines</v>
      </c>
      <c r="G28" s="17" t="str">
        <f>vlookup($B28,Matchdays!$A$2:$E$20,5)</f>
        <v>Singles</v>
      </c>
      <c r="H28" s="1">
        <v>21.0</v>
      </c>
      <c r="I28" s="1" t="s">
        <v>54</v>
      </c>
      <c r="K28" s="1" t="s">
        <v>26</v>
      </c>
      <c r="M28" s="1" t="s">
        <v>12</v>
      </c>
      <c r="N28" s="1" t="s">
        <v>101</v>
      </c>
      <c r="O28" s="1" t="s">
        <v>13</v>
      </c>
      <c r="P28" s="1" t="s">
        <v>101</v>
      </c>
      <c r="Q28" s="17" t="s">
        <v>13</v>
      </c>
      <c r="R28" s="6" t="s">
        <v>99</v>
      </c>
      <c r="S28" s="17" t="str">
        <f>vlookup($C28,Holidays!$A:$G,6)</f>
        <v>D. Witt</v>
      </c>
      <c r="T28" s="17" t="str">
        <f>vlookup($C28,Holidays!$A:$G,7)</f>
        <v>McLachlan</v>
      </c>
      <c r="U28" s="17">
        <f t="shared" ref="U28:X28" si="26">if(M28=$Q28,1,if($Q28 = "Tie",0.5,0))</f>
        <v>0</v>
      </c>
      <c r="V28" s="17">
        <f t="shared" si="26"/>
        <v>0</v>
      </c>
      <c r="W28" s="17">
        <f t="shared" si="26"/>
        <v>1</v>
      </c>
      <c r="X28" s="17">
        <f t="shared" si="26"/>
        <v>0</v>
      </c>
    </row>
    <row r="29">
      <c r="A29" s="13">
        <f>vlookup($B29,Matchdays!$A$2:$E$20,3)</f>
        <v>45073</v>
      </c>
      <c r="B29" s="1">
        <v>9.0</v>
      </c>
      <c r="C29" s="17">
        <f>vlookup($B29,Matchdays!$A$2:$E$20,2)</f>
        <v>2</v>
      </c>
      <c r="D29" s="17" t="str">
        <f>vlookup($C29,Holidays!$A:$G,2)</f>
        <v>Spain</v>
      </c>
      <c r="E29" s="17" t="str">
        <f>vlookup($C29,Holidays!$A:$G,3)</f>
        <v>Murcia</v>
      </c>
      <c r="F29" s="17" t="str">
        <f>vlookup($B29,Matchdays!$A$2:$E$20,4)</f>
        <v>Saurines</v>
      </c>
      <c r="G29" s="17" t="str">
        <f>vlookup($B29,Matchdays!$A$2:$E$20,5)</f>
        <v>Singles</v>
      </c>
      <c r="H29" s="1">
        <v>22.0</v>
      </c>
      <c r="I29" s="1" t="s">
        <v>16</v>
      </c>
      <c r="K29" s="1" t="s">
        <v>48</v>
      </c>
      <c r="M29" s="1" t="s">
        <v>12</v>
      </c>
      <c r="N29" s="1" t="s">
        <v>101</v>
      </c>
      <c r="O29" s="1" t="s">
        <v>13</v>
      </c>
      <c r="P29" s="1" t="s">
        <v>101</v>
      </c>
      <c r="Q29" s="17" t="s">
        <v>12</v>
      </c>
      <c r="R29" s="6" t="s">
        <v>112</v>
      </c>
      <c r="S29" s="17" t="str">
        <f>vlookup($C29,Holidays!$A:$G,6)</f>
        <v>D. Witt</v>
      </c>
      <c r="T29" s="17" t="str">
        <f>vlookup($C29,Holidays!$A:$G,7)</f>
        <v>McLachlan</v>
      </c>
      <c r="U29" s="17">
        <f t="shared" ref="U29:X29" si="27">if(M29=$Q29,1,if($Q29 = "Tie",0.5,0))</f>
        <v>1</v>
      </c>
      <c r="V29" s="17">
        <f t="shared" si="27"/>
        <v>0</v>
      </c>
      <c r="W29" s="17">
        <f t="shared" si="27"/>
        <v>0</v>
      </c>
      <c r="X29" s="17">
        <f t="shared" si="27"/>
        <v>0</v>
      </c>
      <c r="AC29" s="1">
        <v>1.0</v>
      </c>
    </row>
    <row r="30">
      <c r="A30" s="13">
        <f>vlookup($B30,Matchdays!$A$2:$E$20,3)</f>
        <v>45073</v>
      </c>
      <c r="B30" s="1">
        <v>9.0</v>
      </c>
      <c r="C30" s="17">
        <f>vlookup($B30,Matchdays!$A$2:$E$20,2)</f>
        <v>2</v>
      </c>
      <c r="D30" s="17" t="str">
        <f>vlookup($C30,Holidays!$A:$G,2)</f>
        <v>Spain</v>
      </c>
      <c r="E30" s="17" t="str">
        <f>vlookup($C30,Holidays!$A:$G,3)</f>
        <v>Murcia</v>
      </c>
      <c r="F30" s="17" t="str">
        <f>vlookup($B30,Matchdays!$A$2:$E$20,4)</f>
        <v>Saurines</v>
      </c>
      <c r="G30" s="17" t="str">
        <f>vlookup($B30,Matchdays!$A$2:$E$20,5)</f>
        <v>Singles</v>
      </c>
      <c r="H30" s="1">
        <v>23.0</v>
      </c>
      <c r="I30" s="1" t="s">
        <v>23</v>
      </c>
      <c r="K30" s="1" t="s">
        <v>15</v>
      </c>
      <c r="M30" s="1" t="s">
        <v>12</v>
      </c>
      <c r="N30" s="1" t="s">
        <v>101</v>
      </c>
      <c r="O30" s="1" t="s">
        <v>13</v>
      </c>
      <c r="P30" s="1" t="s">
        <v>101</v>
      </c>
      <c r="Q30" s="17" t="s">
        <v>107</v>
      </c>
      <c r="R30" s="6" t="s">
        <v>108</v>
      </c>
      <c r="S30" s="17" t="str">
        <f>vlookup($C30,Holidays!$A:$G,6)</f>
        <v>D. Witt</v>
      </c>
      <c r="T30" s="17" t="str">
        <f>vlookup($C30,Holidays!$A:$G,7)</f>
        <v>McLachlan</v>
      </c>
      <c r="U30" s="17">
        <f t="shared" ref="U30:X30" si="28">if(M30=$Q30,1,if($Q30 = "Tie",0.5,0))</f>
        <v>0.5</v>
      </c>
      <c r="V30" s="17">
        <f t="shared" si="28"/>
        <v>0.5</v>
      </c>
      <c r="W30" s="17">
        <f t="shared" si="28"/>
        <v>0.5</v>
      </c>
      <c r="X30" s="17">
        <f t="shared" si="28"/>
        <v>0.5</v>
      </c>
    </row>
    <row r="31">
      <c r="A31" s="13">
        <f>vlookup($B31,Matchdays!$A$2:$E$20,3)</f>
        <v>45073</v>
      </c>
      <c r="B31" s="1">
        <v>9.0</v>
      </c>
      <c r="C31" s="17">
        <f>vlookup($B31,Matchdays!$A$2:$E$20,2)</f>
        <v>2</v>
      </c>
      <c r="D31" s="17" t="str">
        <f>vlookup($C31,Holidays!$A:$G,2)</f>
        <v>Spain</v>
      </c>
      <c r="E31" s="17" t="str">
        <f>vlookup($C31,Holidays!$A:$G,3)</f>
        <v>Murcia</v>
      </c>
      <c r="F31" s="17" t="str">
        <f>vlookup($B31,Matchdays!$A$2:$E$20,4)</f>
        <v>Saurines</v>
      </c>
      <c r="G31" s="17" t="str">
        <f>vlookup($B31,Matchdays!$A$2:$E$20,5)</f>
        <v>Singles</v>
      </c>
      <c r="H31" s="1">
        <v>24.0</v>
      </c>
      <c r="I31" s="1" t="s">
        <v>43</v>
      </c>
      <c r="K31" s="1" t="s">
        <v>22</v>
      </c>
      <c r="M31" s="1" t="s">
        <v>12</v>
      </c>
      <c r="N31" s="1" t="s">
        <v>101</v>
      </c>
      <c r="O31" s="1" t="s">
        <v>13</v>
      </c>
      <c r="P31" s="1" t="s">
        <v>101</v>
      </c>
      <c r="Q31" s="17" t="s">
        <v>13</v>
      </c>
      <c r="R31" s="6" t="s">
        <v>100</v>
      </c>
      <c r="S31" s="17" t="str">
        <f>vlookup($C31,Holidays!$A:$G,6)</f>
        <v>D. Witt</v>
      </c>
      <c r="T31" s="17" t="str">
        <f>vlookup($C31,Holidays!$A:$G,7)</f>
        <v>McLachlan</v>
      </c>
      <c r="U31" s="17">
        <f t="shared" ref="U31:X31" si="29">if(M31=$Q31,1,if($Q31 = "Tie",0.5,0))</f>
        <v>0</v>
      </c>
      <c r="V31" s="17">
        <f t="shared" si="29"/>
        <v>0</v>
      </c>
      <c r="W31" s="17">
        <f t="shared" si="29"/>
        <v>1</v>
      </c>
      <c r="X31" s="17">
        <f t="shared" si="29"/>
        <v>0</v>
      </c>
    </row>
    <row r="32">
      <c r="A32" s="13">
        <f>vlookup($B32,Matchdays!$A$2:$E$20,3)</f>
        <v>45073</v>
      </c>
      <c r="B32" s="1">
        <v>9.0</v>
      </c>
      <c r="C32" s="17">
        <f>vlookup($B32,Matchdays!$A$2:$E$20,2)</f>
        <v>2</v>
      </c>
      <c r="D32" s="17" t="str">
        <f>vlookup($C32,Holidays!$A:$G,2)</f>
        <v>Spain</v>
      </c>
      <c r="E32" s="17" t="str">
        <f>vlookup($C32,Holidays!$A:$G,3)</f>
        <v>Murcia</v>
      </c>
      <c r="F32" s="17" t="str">
        <f>vlookup($B32,Matchdays!$A$2:$E$20,4)</f>
        <v>Saurines</v>
      </c>
      <c r="G32" s="17" t="str">
        <f>vlookup($B32,Matchdays!$A$2:$E$20,5)</f>
        <v>Singles</v>
      </c>
      <c r="H32" s="1">
        <v>25.0</v>
      </c>
      <c r="I32" s="1" t="s">
        <v>14</v>
      </c>
      <c r="K32" s="1" t="s">
        <v>27</v>
      </c>
      <c r="M32" s="1" t="s">
        <v>12</v>
      </c>
      <c r="N32" s="1" t="s">
        <v>101</v>
      </c>
      <c r="O32" s="1" t="s">
        <v>13</v>
      </c>
      <c r="P32" s="1" t="s">
        <v>101</v>
      </c>
      <c r="Q32" s="17" t="s">
        <v>12</v>
      </c>
      <c r="R32" s="6" t="s">
        <v>106</v>
      </c>
      <c r="S32" s="17" t="str">
        <f>vlookup($C32,Holidays!$A:$G,6)</f>
        <v>D. Witt</v>
      </c>
      <c r="T32" s="17" t="str">
        <f>vlookup($C32,Holidays!$A:$G,7)</f>
        <v>McLachlan</v>
      </c>
      <c r="U32" s="17">
        <f t="shared" ref="U32:X32" si="30">if(M32=$Q32,1,if($Q32 = "Tie",0.5,0))</f>
        <v>1</v>
      </c>
      <c r="V32" s="17">
        <f t="shared" si="30"/>
        <v>0</v>
      </c>
      <c r="W32" s="17">
        <f t="shared" si="30"/>
        <v>0</v>
      </c>
      <c r="X32" s="17">
        <f t="shared" si="30"/>
        <v>0</v>
      </c>
    </row>
    <row r="33">
      <c r="A33" s="13">
        <f>vlookup($B33,Matchdays!$A$2:$E$20,3)</f>
        <v>45547</v>
      </c>
      <c r="B33" s="1">
        <v>12.0</v>
      </c>
      <c r="C33" s="17">
        <f>vlookup($B33,Matchdays!$A$2:$E$20,2)</f>
        <v>3</v>
      </c>
      <c r="D33" s="17" t="str">
        <f>vlookup($C33,Holidays!$A:$G,2)</f>
        <v>Spain</v>
      </c>
      <c r="E33" s="17" t="str">
        <f>vlookup($C33,Holidays!$A:$G,3)</f>
        <v>Malaga</v>
      </c>
      <c r="F33" s="17" t="str">
        <f>vlookup($B33,Matchdays!$A$2:$E$20,4)</f>
        <v>Calanova</v>
      </c>
      <c r="G33" s="17" t="str">
        <f>vlookup($B33,Matchdays!$A$2:$E$20,5)</f>
        <v>2x2 Scramble</v>
      </c>
      <c r="H33" s="1">
        <v>26.0</v>
      </c>
      <c r="I33" s="1" t="s">
        <v>23</v>
      </c>
      <c r="J33" s="1" t="s">
        <v>54</v>
      </c>
      <c r="K33" s="1" t="s">
        <v>26</v>
      </c>
      <c r="L33" s="1" t="s">
        <v>15</v>
      </c>
      <c r="M33" s="1" t="s">
        <v>12</v>
      </c>
      <c r="N33" s="1" t="s">
        <v>12</v>
      </c>
      <c r="O33" s="1" t="s">
        <v>13</v>
      </c>
      <c r="P33" s="1" t="s">
        <v>13</v>
      </c>
      <c r="Q33" s="17" t="s">
        <v>12</v>
      </c>
      <c r="R33" s="6" t="s">
        <v>100</v>
      </c>
      <c r="S33" s="17" t="str">
        <f>vlookup($C33,Holidays!$A:$G,6)</f>
        <v>O'Rourke</v>
      </c>
      <c r="T33" s="17" t="str">
        <f>vlookup($C33,Holidays!$A:$G,7)</f>
        <v>Lowy</v>
      </c>
      <c r="U33" s="17">
        <f t="shared" ref="U33:X33" si="31">if(M33=$Q33,1,if($Q33 = "Tie",0.5,0))</f>
        <v>1</v>
      </c>
      <c r="V33" s="17">
        <f t="shared" si="31"/>
        <v>1</v>
      </c>
      <c r="W33" s="17">
        <f t="shared" si="31"/>
        <v>0</v>
      </c>
      <c r="X33" s="17">
        <f t="shared" si="31"/>
        <v>0</v>
      </c>
      <c r="AB33" s="1">
        <v>1.0</v>
      </c>
    </row>
    <row r="34">
      <c r="A34" s="13">
        <f>vlookup($B34,Matchdays!$A$2:$E$20,3)</f>
        <v>45547</v>
      </c>
      <c r="B34" s="1">
        <v>12.0</v>
      </c>
      <c r="C34" s="17">
        <f>vlookup($B34,Matchdays!$A$2:$E$20,2)</f>
        <v>3</v>
      </c>
      <c r="D34" s="17" t="str">
        <f>vlookup($C34,Holidays!$A:$G,2)</f>
        <v>Spain</v>
      </c>
      <c r="E34" s="17" t="str">
        <f>vlookup($C34,Holidays!$A:$G,3)</f>
        <v>Malaga</v>
      </c>
      <c r="F34" s="17" t="str">
        <f>vlookup($B34,Matchdays!$A$2:$E$20,4)</f>
        <v>Calanova</v>
      </c>
      <c r="G34" s="17" t="str">
        <f>vlookup($B34,Matchdays!$A$2:$E$20,5)</f>
        <v>2x2 Scramble</v>
      </c>
      <c r="H34" s="1">
        <v>27.0</v>
      </c>
      <c r="I34" s="1" t="s">
        <v>113</v>
      </c>
      <c r="J34" s="1" t="s">
        <v>14</v>
      </c>
      <c r="K34" s="1" t="s">
        <v>27</v>
      </c>
      <c r="L34" s="1" t="s">
        <v>22</v>
      </c>
      <c r="M34" s="1" t="s">
        <v>12</v>
      </c>
      <c r="N34" s="1" t="s">
        <v>12</v>
      </c>
      <c r="O34" s="1" t="s">
        <v>13</v>
      </c>
      <c r="P34" s="1" t="s">
        <v>13</v>
      </c>
      <c r="Q34" s="17" t="s">
        <v>13</v>
      </c>
      <c r="R34" s="6" t="s">
        <v>100</v>
      </c>
      <c r="S34" s="17" t="str">
        <f>vlookup($C34,Holidays!$A:$G,6)</f>
        <v>O'Rourke</v>
      </c>
      <c r="T34" s="17" t="str">
        <f>vlookup($C34,Holidays!$A:$G,7)</f>
        <v>Lowy</v>
      </c>
      <c r="U34" s="17">
        <f t="shared" ref="U34:X34" si="32">if(M34=$Q34,1,if($Q34 = "Tie",0.5,0))</f>
        <v>0</v>
      </c>
      <c r="V34" s="17">
        <f t="shared" si="32"/>
        <v>0</v>
      </c>
      <c r="W34" s="17">
        <f t="shared" si="32"/>
        <v>1</v>
      </c>
      <c r="X34" s="17">
        <f t="shared" si="32"/>
        <v>1</v>
      </c>
    </row>
    <row r="35">
      <c r="A35" s="13">
        <f>vlookup($B35,Matchdays!$A$2:$E$20,3)</f>
        <v>45547</v>
      </c>
      <c r="B35" s="1">
        <v>12.0</v>
      </c>
      <c r="C35" s="17">
        <f>vlookup($B35,Matchdays!$A$2:$E$20,2)</f>
        <v>3</v>
      </c>
      <c r="D35" s="17" t="str">
        <f>vlookup($C35,Holidays!$A:$G,2)</f>
        <v>Spain</v>
      </c>
      <c r="E35" s="17" t="str">
        <f>vlookup($C35,Holidays!$A:$G,3)</f>
        <v>Malaga</v>
      </c>
      <c r="F35" s="17" t="str">
        <f>vlookup($B35,Matchdays!$A$2:$E$20,4)</f>
        <v>Calanova</v>
      </c>
      <c r="G35" s="17" t="str">
        <f>vlookup($B35,Matchdays!$A$2:$E$20,5)</f>
        <v>2x2 Scramble</v>
      </c>
      <c r="H35" s="1">
        <v>28.0</v>
      </c>
      <c r="I35" s="1" t="s">
        <v>16</v>
      </c>
      <c r="J35" s="1" t="s">
        <v>19</v>
      </c>
      <c r="K35" s="1" t="s">
        <v>63</v>
      </c>
      <c r="L35" s="1" t="s">
        <v>48</v>
      </c>
      <c r="M35" s="1" t="s">
        <v>12</v>
      </c>
      <c r="N35" s="1" t="s">
        <v>12</v>
      </c>
      <c r="O35" s="1" t="s">
        <v>13</v>
      </c>
      <c r="P35" s="1" t="s">
        <v>13</v>
      </c>
      <c r="Q35" s="17" t="s">
        <v>13</v>
      </c>
      <c r="R35" s="6" t="s">
        <v>114</v>
      </c>
      <c r="S35" s="17" t="str">
        <f>vlookup($C35,Holidays!$A:$G,6)</f>
        <v>O'Rourke</v>
      </c>
      <c r="T35" s="17" t="str">
        <f>vlookup($C35,Holidays!$A:$G,7)</f>
        <v>Lowy</v>
      </c>
      <c r="U35" s="17">
        <f t="shared" ref="U35:X35" si="33">if(M35=$Q35,1,if($Q35 = "Tie",0.5,0))</f>
        <v>0</v>
      </c>
      <c r="V35" s="17">
        <f t="shared" si="33"/>
        <v>0</v>
      </c>
      <c r="W35" s="17">
        <f t="shared" si="33"/>
        <v>1</v>
      </c>
      <c r="X35" s="17">
        <f t="shared" si="33"/>
        <v>1</v>
      </c>
    </row>
    <row r="36">
      <c r="A36" s="13">
        <f>vlookup($B36,Matchdays!$A$2:$E$20,3)</f>
        <v>45548</v>
      </c>
      <c r="B36" s="1">
        <v>13.0</v>
      </c>
      <c r="C36" s="17">
        <f>vlookup($B36,Matchdays!$A$2:$E$20,2)</f>
        <v>3</v>
      </c>
      <c r="D36" s="17" t="str">
        <f>vlookup($C36,Holidays!$A:$G,2)</f>
        <v>Spain</v>
      </c>
      <c r="E36" s="17" t="str">
        <f>vlookup($C36,Holidays!$A:$G,3)</f>
        <v>Malaga</v>
      </c>
      <c r="F36" s="17" t="str">
        <f>vlookup($B36,Matchdays!$A$2:$E$20,4)</f>
        <v>El Chaparral</v>
      </c>
      <c r="G36" s="17" t="str">
        <f>vlookup($B36,Matchdays!$A$2:$E$20,5)</f>
        <v>Fourball</v>
      </c>
      <c r="H36" s="1">
        <v>29.0</v>
      </c>
      <c r="I36" s="1" t="s">
        <v>23</v>
      </c>
      <c r="J36" s="1" t="s">
        <v>19</v>
      </c>
      <c r="K36" s="1" t="s">
        <v>63</v>
      </c>
      <c r="L36" s="1" t="s">
        <v>26</v>
      </c>
      <c r="M36" s="1" t="s">
        <v>12</v>
      </c>
      <c r="N36" s="1" t="s">
        <v>12</v>
      </c>
      <c r="O36" s="1" t="s">
        <v>13</v>
      </c>
      <c r="P36" s="1" t="s">
        <v>13</v>
      </c>
      <c r="Q36" s="17" t="s">
        <v>12</v>
      </c>
      <c r="R36" s="6" t="s">
        <v>112</v>
      </c>
      <c r="S36" s="17" t="str">
        <f>vlookup($C36,Holidays!$A:$G,6)</f>
        <v>O'Rourke</v>
      </c>
      <c r="T36" s="17" t="str">
        <f>vlookup($C36,Holidays!$A:$G,7)</f>
        <v>Lowy</v>
      </c>
      <c r="U36" s="17">
        <f t="shared" ref="U36:X36" si="34">if(M36=$Q36,1,if($Q36 = "Tie",0.5,0))</f>
        <v>1</v>
      </c>
      <c r="V36" s="17">
        <f t="shared" si="34"/>
        <v>1</v>
      </c>
      <c r="W36" s="17">
        <f t="shared" si="34"/>
        <v>0</v>
      </c>
      <c r="X36" s="17">
        <f t="shared" si="34"/>
        <v>0</v>
      </c>
      <c r="AC36" s="1">
        <v>3.0</v>
      </c>
    </row>
    <row r="37">
      <c r="A37" s="13">
        <f>vlookup($B37,Matchdays!$A$2:$E$20,3)</f>
        <v>45548</v>
      </c>
      <c r="B37" s="1">
        <v>13.0</v>
      </c>
      <c r="C37" s="17">
        <f>vlookup($B37,Matchdays!$A$2:$E$20,2)</f>
        <v>3</v>
      </c>
      <c r="D37" s="17" t="str">
        <f>vlookup($C37,Holidays!$A:$G,2)</f>
        <v>Spain</v>
      </c>
      <c r="E37" s="17" t="str">
        <f>vlookup($C37,Holidays!$A:$G,3)</f>
        <v>Malaga</v>
      </c>
      <c r="F37" s="17" t="str">
        <f>vlookup($B37,Matchdays!$A$2:$E$20,4)</f>
        <v>El Chaparral</v>
      </c>
      <c r="G37" s="17" t="str">
        <f>vlookup($B37,Matchdays!$A$2:$E$20,5)</f>
        <v>Fourball</v>
      </c>
      <c r="H37" s="1">
        <v>30.0</v>
      </c>
      <c r="I37" s="1" t="s">
        <v>16</v>
      </c>
      <c r="J37" s="1" t="s">
        <v>113</v>
      </c>
      <c r="K37" s="1" t="s">
        <v>22</v>
      </c>
      <c r="L37" s="1" t="s">
        <v>15</v>
      </c>
      <c r="M37" s="1" t="s">
        <v>12</v>
      </c>
      <c r="N37" s="1" t="s">
        <v>12</v>
      </c>
      <c r="O37" s="1" t="s">
        <v>13</v>
      </c>
      <c r="P37" s="1" t="s">
        <v>13</v>
      </c>
      <c r="Q37" s="17" t="s">
        <v>13</v>
      </c>
      <c r="R37" s="6" t="s">
        <v>104</v>
      </c>
      <c r="S37" s="17" t="str">
        <f>vlookup($C37,Holidays!$A:$G,6)</f>
        <v>O'Rourke</v>
      </c>
      <c r="T37" s="17" t="str">
        <f>vlookup($C37,Holidays!$A:$G,7)</f>
        <v>Lowy</v>
      </c>
      <c r="U37" s="17">
        <f t="shared" ref="U37:X37" si="35">if(M37=$Q37,1,if($Q37 = "Tie",0.5,0))</f>
        <v>0</v>
      </c>
      <c r="V37" s="17">
        <f t="shared" si="35"/>
        <v>0</v>
      </c>
      <c r="W37" s="17">
        <f t="shared" si="35"/>
        <v>1</v>
      </c>
      <c r="X37" s="17">
        <f t="shared" si="35"/>
        <v>1</v>
      </c>
      <c r="AC37" s="1">
        <v>1.0</v>
      </c>
      <c r="AE37" s="1">
        <v>1.0</v>
      </c>
    </row>
    <row r="38">
      <c r="A38" s="13">
        <f>vlookup($B38,Matchdays!$A$2:$E$20,3)</f>
        <v>45548</v>
      </c>
      <c r="B38" s="1">
        <v>13.0</v>
      </c>
      <c r="C38" s="17">
        <f>vlookup($B38,Matchdays!$A$2:$E$20,2)</f>
        <v>3</v>
      </c>
      <c r="D38" s="17" t="str">
        <f>vlookup($C38,Holidays!$A:$G,2)</f>
        <v>Spain</v>
      </c>
      <c r="E38" s="17" t="str">
        <f>vlookup($C38,Holidays!$A:$G,3)</f>
        <v>Malaga</v>
      </c>
      <c r="F38" s="17" t="str">
        <f>vlookup($B38,Matchdays!$A$2:$E$20,4)</f>
        <v>El Chaparral</v>
      </c>
      <c r="G38" s="17" t="str">
        <f>vlookup($B38,Matchdays!$A$2:$E$20,5)</f>
        <v>Fourball</v>
      </c>
      <c r="H38" s="1">
        <v>31.0</v>
      </c>
      <c r="I38" s="1" t="s">
        <v>54</v>
      </c>
      <c r="J38" s="1" t="s">
        <v>14</v>
      </c>
      <c r="K38" s="1" t="s">
        <v>27</v>
      </c>
      <c r="L38" s="1" t="s">
        <v>48</v>
      </c>
      <c r="M38" s="1" t="s">
        <v>12</v>
      </c>
      <c r="N38" s="1" t="s">
        <v>12</v>
      </c>
      <c r="O38" s="1" t="s">
        <v>13</v>
      </c>
      <c r="P38" s="1" t="s">
        <v>13</v>
      </c>
      <c r="Q38" s="17" t="s">
        <v>12</v>
      </c>
      <c r="R38" s="6" t="s">
        <v>100</v>
      </c>
      <c r="S38" s="17" t="str">
        <f>vlookup($C38,Holidays!$A:$G,6)</f>
        <v>O'Rourke</v>
      </c>
      <c r="T38" s="17" t="str">
        <f>vlookup($C38,Holidays!$A:$G,7)</f>
        <v>Lowy</v>
      </c>
      <c r="U38" s="17">
        <f t="shared" ref="U38:X38" si="36">if(M38=$Q38,1,if($Q38 = "Tie",0.5,0))</f>
        <v>1</v>
      </c>
      <c r="V38" s="17">
        <f t="shared" si="36"/>
        <v>1</v>
      </c>
      <c r="W38" s="17">
        <f t="shared" si="36"/>
        <v>0</v>
      </c>
      <c r="X38" s="17">
        <f t="shared" si="36"/>
        <v>0</v>
      </c>
    </row>
    <row r="39">
      <c r="A39" s="13">
        <f>vlookup($B39,Matchdays!$A$2:$E$20,3)</f>
        <v>45550</v>
      </c>
      <c r="B39" s="1">
        <v>14.0</v>
      </c>
      <c r="C39" s="17">
        <f>vlookup($B39,Matchdays!$A$2:$E$20,2)</f>
        <v>3</v>
      </c>
      <c r="D39" s="17" t="str">
        <f>vlookup($C39,Holidays!$A:$G,2)</f>
        <v>Spain</v>
      </c>
      <c r="E39" s="17" t="str">
        <f>vlookup($C39,Holidays!$A:$G,3)</f>
        <v>Malaga</v>
      </c>
      <c r="F39" s="17" t="str">
        <f>vlookup($B39,Matchdays!$A$2:$E$20,4)</f>
        <v>La Cala (Asia)</v>
      </c>
      <c r="G39" s="17" t="str">
        <f>vlookup($B39,Matchdays!$A$2:$E$20,5)</f>
        <v>Singles</v>
      </c>
      <c r="H39" s="1">
        <v>32.0</v>
      </c>
      <c r="I39" s="1" t="s">
        <v>16</v>
      </c>
      <c r="K39" s="1" t="s">
        <v>22</v>
      </c>
      <c r="M39" s="1" t="s">
        <v>12</v>
      </c>
      <c r="N39" s="1" t="s">
        <v>101</v>
      </c>
      <c r="O39" s="1" t="s">
        <v>13</v>
      </c>
      <c r="P39" s="1" t="s">
        <v>101</v>
      </c>
      <c r="Q39" s="17" t="s">
        <v>13</v>
      </c>
      <c r="R39" s="6" t="s">
        <v>110</v>
      </c>
      <c r="S39" s="17" t="str">
        <f>vlookup($C39,Holidays!$A:$G,6)</f>
        <v>O'Rourke</v>
      </c>
      <c r="T39" s="17" t="str">
        <f>vlookup($C39,Holidays!$A:$G,7)</f>
        <v>Lowy</v>
      </c>
      <c r="U39" s="17">
        <f t="shared" ref="U39:X39" si="37">if(M39=$Q39,1,if($Q39 = "Tie",0.5,0))</f>
        <v>0</v>
      </c>
      <c r="V39" s="17">
        <f t="shared" si="37"/>
        <v>0</v>
      </c>
      <c r="W39" s="17">
        <f t="shared" si="37"/>
        <v>1</v>
      </c>
      <c r="X39" s="17">
        <f t="shared" si="37"/>
        <v>0</v>
      </c>
    </row>
    <row r="40">
      <c r="A40" s="13">
        <f>vlookup($B40,Matchdays!$A$2:$E$20,3)</f>
        <v>45550</v>
      </c>
      <c r="B40" s="1">
        <v>14.0</v>
      </c>
      <c r="C40" s="17">
        <f>vlookup($B40,Matchdays!$A$2:$E$20,2)</f>
        <v>3</v>
      </c>
      <c r="D40" s="17" t="str">
        <f>vlookup($C40,Holidays!$A:$G,2)</f>
        <v>Spain</v>
      </c>
      <c r="E40" s="17" t="str">
        <f>vlookup($C40,Holidays!$A:$G,3)</f>
        <v>Malaga</v>
      </c>
      <c r="F40" s="17" t="str">
        <f>vlookup($B40,Matchdays!$A$2:$E$20,4)</f>
        <v>La Cala (Asia)</v>
      </c>
      <c r="G40" s="17" t="str">
        <f>vlookup($B40,Matchdays!$A$2:$E$20,5)</f>
        <v>Singles</v>
      </c>
      <c r="H40" s="1">
        <v>33.0</v>
      </c>
      <c r="I40" s="1" t="s">
        <v>14</v>
      </c>
      <c r="K40" s="1" t="s">
        <v>26</v>
      </c>
      <c r="M40" s="1" t="s">
        <v>12</v>
      </c>
      <c r="N40" s="1" t="s">
        <v>101</v>
      </c>
      <c r="O40" s="1" t="s">
        <v>13</v>
      </c>
      <c r="P40" s="1" t="s">
        <v>101</v>
      </c>
      <c r="Q40" s="17" t="s">
        <v>107</v>
      </c>
      <c r="R40" s="6" t="s">
        <v>108</v>
      </c>
      <c r="S40" s="17" t="str">
        <f>vlookup($C40,Holidays!$A:$G,6)</f>
        <v>O'Rourke</v>
      </c>
      <c r="T40" s="17" t="str">
        <f>vlookup($C40,Holidays!$A:$G,7)</f>
        <v>Lowy</v>
      </c>
      <c r="U40" s="17">
        <f t="shared" ref="U40:X40" si="38">if(M40=$Q40,1,if($Q40 = "Tie",0.5,0))</f>
        <v>0.5</v>
      </c>
      <c r="V40" s="17">
        <f t="shared" si="38"/>
        <v>0.5</v>
      </c>
      <c r="W40" s="17">
        <f t="shared" si="38"/>
        <v>0.5</v>
      </c>
      <c r="X40" s="17">
        <f t="shared" si="38"/>
        <v>0.5</v>
      </c>
      <c r="AC40" s="1">
        <v>1.0</v>
      </c>
    </row>
    <row r="41">
      <c r="A41" s="13">
        <f>vlookup($B41,Matchdays!$A$2:$E$20,3)</f>
        <v>45550</v>
      </c>
      <c r="B41" s="1">
        <v>14.0</v>
      </c>
      <c r="C41" s="17">
        <f>vlookup($B41,Matchdays!$A$2:$E$20,2)</f>
        <v>3</v>
      </c>
      <c r="D41" s="17" t="str">
        <f>vlookup($C41,Holidays!$A:$G,2)</f>
        <v>Spain</v>
      </c>
      <c r="E41" s="17" t="str">
        <f>vlookup($C41,Holidays!$A:$G,3)</f>
        <v>Malaga</v>
      </c>
      <c r="F41" s="17" t="str">
        <f>vlookup($B41,Matchdays!$A$2:$E$20,4)</f>
        <v>La Cala (Asia)</v>
      </c>
      <c r="G41" s="17" t="str">
        <f>vlookup($B41,Matchdays!$A$2:$E$20,5)</f>
        <v>Singles</v>
      </c>
      <c r="H41" s="1">
        <v>34.0</v>
      </c>
      <c r="I41" s="1" t="s">
        <v>54</v>
      </c>
      <c r="K41" s="1" t="s">
        <v>15</v>
      </c>
      <c r="M41" s="1" t="s">
        <v>12</v>
      </c>
      <c r="N41" s="1" t="s">
        <v>101</v>
      </c>
      <c r="O41" s="1" t="s">
        <v>13</v>
      </c>
      <c r="P41" s="1" t="s">
        <v>101</v>
      </c>
      <c r="Q41" s="17" t="s">
        <v>13</v>
      </c>
      <c r="R41" s="6" t="s">
        <v>105</v>
      </c>
      <c r="S41" s="17" t="str">
        <f>vlookup($C41,Holidays!$A:$G,6)</f>
        <v>O'Rourke</v>
      </c>
      <c r="T41" s="17" t="str">
        <f>vlookup($C41,Holidays!$A:$G,7)</f>
        <v>Lowy</v>
      </c>
      <c r="U41" s="17">
        <f t="shared" ref="U41:X41" si="39">if(M41=$Q41,1,if($Q41 = "Tie",0.5,0))</f>
        <v>0</v>
      </c>
      <c r="V41" s="17">
        <f t="shared" si="39"/>
        <v>0</v>
      </c>
      <c r="W41" s="17">
        <f t="shared" si="39"/>
        <v>1</v>
      </c>
      <c r="X41" s="17">
        <f t="shared" si="39"/>
        <v>0</v>
      </c>
      <c r="AE41" s="1">
        <v>1.0</v>
      </c>
    </row>
    <row r="42">
      <c r="A42" s="13">
        <f>vlookup($B42,Matchdays!$A$2:$E$20,3)</f>
        <v>45550</v>
      </c>
      <c r="B42" s="1">
        <v>14.0</v>
      </c>
      <c r="C42" s="17">
        <f>vlookup($B42,Matchdays!$A$2:$E$20,2)</f>
        <v>3</v>
      </c>
      <c r="D42" s="17" t="str">
        <f>vlookup($C42,Holidays!$A:$G,2)</f>
        <v>Spain</v>
      </c>
      <c r="E42" s="17" t="str">
        <f>vlookup($C42,Holidays!$A:$G,3)</f>
        <v>Malaga</v>
      </c>
      <c r="F42" s="17" t="str">
        <f>vlookup($B42,Matchdays!$A$2:$E$20,4)</f>
        <v>La Cala (Asia)</v>
      </c>
      <c r="G42" s="17" t="str">
        <f>vlookup($B42,Matchdays!$A$2:$E$20,5)</f>
        <v>Singles</v>
      </c>
      <c r="H42" s="1">
        <v>35.0</v>
      </c>
      <c r="I42" s="1" t="s">
        <v>19</v>
      </c>
      <c r="K42" s="1" t="s">
        <v>27</v>
      </c>
      <c r="M42" s="1" t="s">
        <v>12</v>
      </c>
      <c r="N42" s="1" t="s">
        <v>101</v>
      </c>
      <c r="O42" s="1" t="s">
        <v>13</v>
      </c>
      <c r="P42" s="1" t="s">
        <v>101</v>
      </c>
      <c r="Q42" s="17" t="s">
        <v>13</v>
      </c>
      <c r="R42" s="6" t="s">
        <v>110</v>
      </c>
      <c r="S42" s="17" t="str">
        <f>vlookup($C42,Holidays!$A:$G,6)</f>
        <v>O'Rourke</v>
      </c>
      <c r="T42" s="17" t="str">
        <f>vlookup($C42,Holidays!$A:$G,7)</f>
        <v>Lowy</v>
      </c>
      <c r="U42" s="17">
        <f t="shared" ref="U42:X42" si="40">if(M42=$Q42,1,if($Q42 = "Tie",0.5,0))</f>
        <v>0</v>
      </c>
      <c r="V42" s="17">
        <f t="shared" si="40"/>
        <v>0</v>
      </c>
      <c r="W42" s="17">
        <f t="shared" si="40"/>
        <v>1</v>
      </c>
      <c r="X42" s="17">
        <f t="shared" si="40"/>
        <v>0</v>
      </c>
    </row>
    <row r="43">
      <c r="A43" s="13">
        <f>vlookup($B43,Matchdays!$A$2:$E$20,3)</f>
        <v>45550</v>
      </c>
      <c r="B43" s="1">
        <v>14.0</v>
      </c>
      <c r="C43" s="17">
        <f>vlookup($B43,Matchdays!$A$2:$E$20,2)</f>
        <v>3</v>
      </c>
      <c r="D43" s="17" t="str">
        <f>vlookup($C43,Holidays!$A:$G,2)</f>
        <v>Spain</v>
      </c>
      <c r="E43" s="17" t="str">
        <f>vlookup($C43,Holidays!$A:$G,3)</f>
        <v>Malaga</v>
      </c>
      <c r="F43" s="17" t="str">
        <f>vlookup($B43,Matchdays!$A$2:$E$20,4)</f>
        <v>La Cala (Asia)</v>
      </c>
      <c r="G43" s="17" t="str">
        <f>vlookup($B43,Matchdays!$A$2:$E$20,5)</f>
        <v>Singles</v>
      </c>
      <c r="H43" s="1">
        <v>36.0</v>
      </c>
      <c r="I43" s="1" t="s">
        <v>23</v>
      </c>
      <c r="K43" s="1" t="s">
        <v>63</v>
      </c>
      <c r="M43" s="1" t="s">
        <v>12</v>
      </c>
      <c r="N43" s="1" t="s">
        <v>101</v>
      </c>
      <c r="O43" s="1" t="s">
        <v>13</v>
      </c>
      <c r="P43" s="1" t="s">
        <v>101</v>
      </c>
      <c r="Q43" s="17" t="s">
        <v>13</v>
      </c>
      <c r="R43" s="6" t="s">
        <v>110</v>
      </c>
      <c r="S43" s="17" t="str">
        <f>vlookup($C43,Holidays!$A:$G,6)</f>
        <v>O'Rourke</v>
      </c>
      <c r="T43" s="17" t="str">
        <f>vlookup($C43,Holidays!$A:$G,7)</f>
        <v>Lowy</v>
      </c>
      <c r="U43" s="17">
        <f t="shared" ref="U43:X43" si="41">if(M43=$Q43,1,if($Q43 = "Tie",0.5,0))</f>
        <v>0</v>
      </c>
      <c r="V43" s="17">
        <f t="shared" si="41"/>
        <v>0</v>
      </c>
      <c r="W43" s="17">
        <f t="shared" si="41"/>
        <v>1</v>
      </c>
      <c r="X43" s="17">
        <f t="shared" si="41"/>
        <v>0</v>
      </c>
      <c r="AC43" s="1">
        <v>2.0</v>
      </c>
      <c r="AE43" s="1">
        <v>3.0</v>
      </c>
    </row>
    <row r="44">
      <c r="A44" s="13">
        <f>vlookup($B44,Matchdays!$A$2:$E$20,3)</f>
        <v>45550</v>
      </c>
      <c r="B44" s="1">
        <v>14.0</v>
      </c>
      <c r="C44" s="17">
        <f>vlookup($B44,Matchdays!$A$2:$E$20,2)</f>
        <v>3</v>
      </c>
      <c r="D44" s="17" t="str">
        <f>vlookup($C44,Holidays!$A:$G,2)</f>
        <v>Spain</v>
      </c>
      <c r="E44" s="17" t="str">
        <f>vlookup($C44,Holidays!$A:$G,3)</f>
        <v>Malaga</v>
      </c>
      <c r="F44" s="17" t="str">
        <f>vlookup($B44,Matchdays!$A$2:$E$20,4)</f>
        <v>La Cala (Asia)</v>
      </c>
      <c r="G44" s="17" t="str">
        <f>vlookup($B44,Matchdays!$A$2:$E$20,5)</f>
        <v>Singles</v>
      </c>
      <c r="H44" s="1">
        <v>37.0</v>
      </c>
      <c r="I44" s="1" t="s">
        <v>113</v>
      </c>
      <c r="K44" s="1" t="s">
        <v>48</v>
      </c>
      <c r="M44" s="1" t="s">
        <v>12</v>
      </c>
      <c r="N44" s="1" t="s">
        <v>101</v>
      </c>
      <c r="O44" s="1" t="s">
        <v>13</v>
      </c>
      <c r="P44" s="1" t="s">
        <v>101</v>
      </c>
      <c r="Q44" s="17" t="s">
        <v>13</v>
      </c>
      <c r="R44" s="6" t="s">
        <v>100</v>
      </c>
      <c r="S44" s="17" t="str">
        <f>vlookup($C44,Holidays!$A:$G,6)</f>
        <v>O'Rourke</v>
      </c>
      <c r="T44" s="17" t="str">
        <f>vlookup($C44,Holidays!$A:$G,7)</f>
        <v>Lowy</v>
      </c>
      <c r="U44" s="17">
        <f t="shared" ref="U44:X44" si="42">if(M44=$Q44,1,if($Q44 = "Tie",0.5,0))</f>
        <v>0</v>
      </c>
      <c r="V44" s="17">
        <f t="shared" si="42"/>
        <v>0</v>
      </c>
      <c r="W44" s="17">
        <f t="shared" si="42"/>
        <v>1</v>
      </c>
      <c r="X44" s="17">
        <f t="shared" si="42"/>
        <v>0</v>
      </c>
      <c r="Y44" s="1">
        <v>1.0</v>
      </c>
      <c r="AC44" s="1">
        <v>1.0</v>
      </c>
    </row>
    <row r="45">
      <c r="A45" s="13">
        <f>vlookup($B45,Matchdays!$A$2:$E$20,3)</f>
        <v>45791</v>
      </c>
      <c r="B45" s="1">
        <v>15.0</v>
      </c>
      <c r="C45" s="17">
        <f>vlookup($B45,Matchdays!$A$2:$E$20,2)</f>
        <v>4</v>
      </c>
      <c r="D45" s="17" t="str">
        <f>vlookup($C45,Holidays!$A:$G,2)</f>
        <v>Turkey</v>
      </c>
      <c r="E45" s="17" t="str">
        <f>vlookup($C45,Holidays!$A:$G,3)</f>
        <v>Belek</v>
      </c>
      <c r="F45" s="17" t="str">
        <f>vlookup($B45,Matchdays!$A$2:$E$20,4)</f>
        <v>Kaya Belek</v>
      </c>
      <c r="G45" s="17" t="str">
        <f>vlookup($B45,Matchdays!$A$2:$E$20,5)</f>
        <v>2x2 Scramble</v>
      </c>
      <c r="H45" s="1">
        <v>38.0</v>
      </c>
      <c r="I45" s="1" t="s">
        <v>19</v>
      </c>
      <c r="J45" s="1" t="s">
        <v>54</v>
      </c>
      <c r="K45" s="1" t="s">
        <v>26</v>
      </c>
      <c r="L45" s="1" t="s">
        <v>22</v>
      </c>
      <c r="M45" s="1" t="s">
        <v>12</v>
      </c>
      <c r="N45" s="1" t="s">
        <v>12</v>
      </c>
      <c r="O45" s="1" t="s">
        <v>13</v>
      </c>
      <c r="P45" s="1" t="s">
        <v>13</v>
      </c>
      <c r="Q45" s="17" t="s">
        <v>13</v>
      </c>
      <c r="R45" s="6" t="s">
        <v>106</v>
      </c>
      <c r="S45" s="17" t="str">
        <f>vlookup($C45,Holidays!$A:$G,6)</f>
        <v>Cranham</v>
      </c>
      <c r="T45" s="17" t="str">
        <f>vlookup($C45,Holidays!$A:$G,7)</f>
        <v>James</v>
      </c>
      <c r="U45" s="17">
        <f t="shared" ref="U45:X45" si="43">if(M45=$Q45,1,if($Q45 = "Tie",0.5,0))</f>
        <v>0</v>
      </c>
      <c r="V45" s="17">
        <f t="shared" si="43"/>
        <v>0</v>
      </c>
      <c r="W45" s="17">
        <f t="shared" si="43"/>
        <v>1</v>
      </c>
      <c r="X45" s="17">
        <f t="shared" si="43"/>
        <v>1</v>
      </c>
      <c r="Z45" s="1">
        <v>1.0</v>
      </c>
      <c r="AA45" s="1">
        <v>1.0</v>
      </c>
    </row>
    <row r="46">
      <c r="A46" s="13">
        <f>vlookup($B46,Matchdays!$A$2:$E$20,3)</f>
        <v>45791</v>
      </c>
      <c r="B46" s="1">
        <v>15.0</v>
      </c>
      <c r="C46" s="17">
        <f>vlookup($B46,Matchdays!$A$2:$E$20,2)</f>
        <v>4</v>
      </c>
      <c r="D46" s="17" t="str">
        <f>vlookup($C46,Holidays!$A:$G,2)</f>
        <v>Turkey</v>
      </c>
      <c r="E46" s="17" t="str">
        <f>vlookup($C46,Holidays!$A:$G,3)</f>
        <v>Belek</v>
      </c>
      <c r="F46" s="17" t="str">
        <f>vlookup($B46,Matchdays!$A$2:$E$20,4)</f>
        <v>Kaya Belek</v>
      </c>
      <c r="G46" s="17" t="str">
        <f>vlookup($B46,Matchdays!$A$2:$E$20,5)</f>
        <v>2x2 Scramble</v>
      </c>
      <c r="H46" s="1">
        <v>39.0</v>
      </c>
      <c r="I46" s="1" t="s">
        <v>16</v>
      </c>
      <c r="J46" s="1" t="s">
        <v>70</v>
      </c>
      <c r="K46" s="1" t="s">
        <v>20</v>
      </c>
      <c r="L46" s="1" t="s">
        <v>15</v>
      </c>
      <c r="M46" s="1" t="s">
        <v>12</v>
      </c>
      <c r="N46" s="1" t="s">
        <v>12</v>
      </c>
      <c r="O46" s="1" t="s">
        <v>13</v>
      </c>
      <c r="P46" s="1" t="s">
        <v>13</v>
      </c>
      <c r="Q46" s="17" t="s">
        <v>12</v>
      </c>
      <c r="R46" s="6" t="s">
        <v>111</v>
      </c>
      <c r="S46" s="17" t="str">
        <f>vlookup($C46,Holidays!$A:$G,6)</f>
        <v>Cranham</v>
      </c>
      <c r="T46" s="17" t="str">
        <f>vlookup($C46,Holidays!$A:$G,7)</f>
        <v>James</v>
      </c>
      <c r="U46" s="17">
        <f t="shared" ref="U46:X46" si="44">if(M46=$Q46,1,if($Q46 = "Tie",0.5,0))</f>
        <v>1</v>
      </c>
      <c r="V46" s="17">
        <f t="shared" si="44"/>
        <v>1</v>
      </c>
      <c r="W46" s="17">
        <f t="shared" si="44"/>
        <v>0</v>
      </c>
      <c r="X46" s="17">
        <f t="shared" si="44"/>
        <v>0</v>
      </c>
      <c r="Z46" s="1">
        <v>1.0</v>
      </c>
    </row>
    <row r="47">
      <c r="A47" s="13">
        <f>vlookup($B47,Matchdays!$A$2:$E$20,3)</f>
        <v>45791</v>
      </c>
      <c r="B47" s="1">
        <v>15.0</v>
      </c>
      <c r="C47" s="17">
        <f>vlookup($B47,Matchdays!$A$2:$E$20,2)</f>
        <v>4</v>
      </c>
      <c r="D47" s="17" t="str">
        <f>vlookup($C47,Holidays!$A:$G,2)</f>
        <v>Turkey</v>
      </c>
      <c r="E47" s="17" t="str">
        <f>vlookup($C47,Holidays!$A:$G,3)</f>
        <v>Belek</v>
      </c>
      <c r="F47" s="17" t="str">
        <f>vlookup($B47,Matchdays!$A$2:$E$20,4)</f>
        <v>Kaya Belek</v>
      </c>
      <c r="G47" s="17" t="str">
        <f>vlookup($B47,Matchdays!$A$2:$E$20,5)</f>
        <v>2x2 Scramble</v>
      </c>
      <c r="H47" s="1">
        <v>40.0</v>
      </c>
      <c r="I47" s="1" t="s">
        <v>14</v>
      </c>
      <c r="J47" s="1" t="s">
        <v>23</v>
      </c>
      <c r="K47" s="1" t="s">
        <v>48</v>
      </c>
      <c r="L47" s="1" t="s">
        <v>27</v>
      </c>
      <c r="M47" s="1" t="s">
        <v>12</v>
      </c>
      <c r="N47" s="1" t="s">
        <v>12</v>
      </c>
      <c r="O47" s="1" t="s">
        <v>13</v>
      </c>
      <c r="P47" s="1" t="s">
        <v>13</v>
      </c>
      <c r="Q47" s="17" t="s">
        <v>13</v>
      </c>
      <c r="R47" s="6" t="s">
        <v>105</v>
      </c>
      <c r="S47" s="17" t="str">
        <f>vlookup($C47,Holidays!$A:$G,6)</f>
        <v>Cranham</v>
      </c>
      <c r="T47" s="17" t="str">
        <f>vlookup($C47,Holidays!$A:$G,7)</f>
        <v>James</v>
      </c>
      <c r="U47" s="17">
        <f t="shared" ref="U47:X47" si="45">if(M47=$Q47,1,if($Q47 = "Tie",0.5,0))</f>
        <v>0</v>
      </c>
      <c r="V47" s="17">
        <f t="shared" si="45"/>
        <v>0</v>
      </c>
      <c r="W47" s="17">
        <f t="shared" si="45"/>
        <v>1</v>
      </c>
      <c r="X47" s="17">
        <f t="shared" si="45"/>
        <v>1</v>
      </c>
    </row>
    <row r="48">
      <c r="A48" s="13">
        <f>vlookup($B48,Matchdays!$A$2:$E$20,3)</f>
        <v>45792</v>
      </c>
      <c r="B48" s="1">
        <v>16.0</v>
      </c>
      <c r="C48" s="17">
        <f>vlookup($B48,Matchdays!$A$2:$E$20,2)</f>
        <v>4</v>
      </c>
      <c r="D48" s="17" t="str">
        <f>vlookup($C48,Holidays!$A:$G,2)</f>
        <v>Turkey</v>
      </c>
      <c r="E48" s="17" t="str">
        <f>vlookup($C48,Holidays!$A:$G,3)</f>
        <v>Belek</v>
      </c>
      <c r="F48" s="17" t="str">
        <f>vlookup($B48,Matchdays!$A$2:$E$20,4)</f>
        <v>Carya</v>
      </c>
      <c r="G48" s="17" t="str">
        <f>vlookup($B48,Matchdays!$A$2:$E$20,5)</f>
        <v>Fourball</v>
      </c>
      <c r="H48" s="1">
        <v>41.0</v>
      </c>
      <c r="I48" s="1" t="s">
        <v>14</v>
      </c>
      <c r="J48" s="1" t="s">
        <v>54</v>
      </c>
      <c r="K48" s="1" t="s">
        <v>22</v>
      </c>
      <c r="L48" s="1" t="s">
        <v>48</v>
      </c>
      <c r="M48" s="1" t="s">
        <v>12</v>
      </c>
      <c r="N48" s="1" t="s">
        <v>12</v>
      </c>
      <c r="O48" s="1" t="s">
        <v>13</v>
      </c>
      <c r="P48" s="1" t="s">
        <v>13</v>
      </c>
      <c r="Q48" s="17" t="s">
        <v>12</v>
      </c>
      <c r="R48" s="6" t="s">
        <v>100</v>
      </c>
      <c r="S48" s="17" t="str">
        <f>vlookup($C48,Holidays!$A:$G,6)</f>
        <v>Cranham</v>
      </c>
      <c r="T48" s="17" t="str">
        <f>vlookup($C48,Holidays!$A:$G,7)</f>
        <v>James</v>
      </c>
      <c r="U48" s="17">
        <f t="shared" ref="U48:X48" si="46">if(M48=$Q48,1,if($Q48 = "Tie",0.5,0))</f>
        <v>1</v>
      </c>
      <c r="V48" s="17">
        <f t="shared" si="46"/>
        <v>1</v>
      </c>
      <c r="W48" s="17">
        <f t="shared" si="46"/>
        <v>0</v>
      </c>
      <c r="X48" s="17">
        <f t="shared" si="46"/>
        <v>0</v>
      </c>
      <c r="AC48" s="1">
        <v>1.0</v>
      </c>
      <c r="AD48" s="1">
        <v>2.0</v>
      </c>
    </row>
    <row r="49">
      <c r="A49" s="13">
        <f>vlookup($B49,Matchdays!$A$2:$E$20,3)</f>
        <v>45792</v>
      </c>
      <c r="B49" s="1">
        <v>16.0</v>
      </c>
      <c r="C49" s="17">
        <f>vlookup($B49,Matchdays!$A$2:$E$20,2)</f>
        <v>4</v>
      </c>
      <c r="D49" s="17" t="str">
        <f>vlookup($C49,Holidays!$A:$G,2)</f>
        <v>Turkey</v>
      </c>
      <c r="E49" s="17" t="str">
        <f>vlookup($C49,Holidays!$A:$G,3)</f>
        <v>Belek</v>
      </c>
      <c r="F49" s="17" t="str">
        <f>vlookup($B49,Matchdays!$A$2:$E$20,4)</f>
        <v>Carya</v>
      </c>
      <c r="G49" s="17" t="str">
        <f>vlookup($B49,Matchdays!$A$2:$E$20,5)</f>
        <v>Fourball</v>
      </c>
      <c r="H49" s="1">
        <v>42.0</v>
      </c>
      <c r="I49" s="1" t="s">
        <v>70</v>
      </c>
      <c r="J49" s="1" t="s">
        <v>23</v>
      </c>
      <c r="K49" s="1" t="s">
        <v>15</v>
      </c>
      <c r="L49" s="1" t="s">
        <v>26</v>
      </c>
      <c r="M49" s="1" t="s">
        <v>12</v>
      </c>
      <c r="N49" s="1" t="s">
        <v>12</v>
      </c>
      <c r="O49" s="1" t="s">
        <v>13</v>
      </c>
      <c r="P49" s="1" t="s">
        <v>13</v>
      </c>
      <c r="Q49" s="17" t="s">
        <v>13</v>
      </c>
      <c r="R49" s="6" t="s">
        <v>104</v>
      </c>
      <c r="S49" s="17" t="str">
        <f>vlookup($C49,Holidays!$A:$G,6)</f>
        <v>Cranham</v>
      </c>
      <c r="T49" s="17" t="str">
        <f>vlookup($C49,Holidays!$A:$G,7)</f>
        <v>James</v>
      </c>
      <c r="U49" s="17">
        <f t="shared" ref="U49:X49" si="47">if(M49=$Q49,1,if($Q49 = "Tie",0.5,0))</f>
        <v>0</v>
      </c>
      <c r="V49" s="17">
        <f t="shared" si="47"/>
        <v>0</v>
      </c>
      <c r="W49" s="17">
        <f t="shared" si="47"/>
        <v>1</v>
      </c>
      <c r="X49" s="17">
        <f t="shared" si="47"/>
        <v>1</v>
      </c>
      <c r="AD49" s="1">
        <v>1.0</v>
      </c>
    </row>
    <row r="50">
      <c r="A50" s="13">
        <f>vlookup($B50,Matchdays!$A$2:$E$20,3)</f>
        <v>45792</v>
      </c>
      <c r="B50" s="1">
        <v>16.0</v>
      </c>
      <c r="C50" s="17">
        <f>vlookup($B50,Matchdays!$A$2:$E$20,2)</f>
        <v>4</v>
      </c>
      <c r="D50" s="17" t="str">
        <f>vlookup($C50,Holidays!$A:$G,2)</f>
        <v>Turkey</v>
      </c>
      <c r="E50" s="17" t="str">
        <f>vlookup($C50,Holidays!$A:$G,3)</f>
        <v>Belek</v>
      </c>
      <c r="F50" s="17" t="str">
        <f>vlookup($B50,Matchdays!$A$2:$E$20,4)</f>
        <v>Carya</v>
      </c>
      <c r="G50" s="17" t="str">
        <f>vlookup($B50,Matchdays!$A$2:$E$20,5)</f>
        <v>Fourball</v>
      </c>
      <c r="H50" s="1">
        <v>43.0</v>
      </c>
      <c r="I50" s="1" t="s">
        <v>16</v>
      </c>
      <c r="J50" s="1" t="s">
        <v>19</v>
      </c>
      <c r="K50" s="1" t="s">
        <v>27</v>
      </c>
      <c r="L50" s="1" t="s">
        <v>20</v>
      </c>
      <c r="M50" s="1" t="s">
        <v>12</v>
      </c>
      <c r="N50" s="1" t="s">
        <v>12</v>
      </c>
      <c r="O50" s="1" t="s">
        <v>13</v>
      </c>
      <c r="P50" s="1" t="s">
        <v>13</v>
      </c>
      <c r="Q50" s="17" t="s">
        <v>12</v>
      </c>
      <c r="R50" s="6" t="s">
        <v>99</v>
      </c>
      <c r="S50" s="17" t="str">
        <f>vlookup($C50,Holidays!$A:$G,6)</f>
        <v>Cranham</v>
      </c>
      <c r="T50" s="17" t="str">
        <f>vlookup($C50,Holidays!$A:$G,7)</f>
        <v>James</v>
      </c>
      <c r="U50" s="17">
        <f t="shared" ref="U50:X50" si="48">if(M50=$Q50,1,if($Q50 = "Tie",0.5,0))</f>
        <v>1</v>
      </c>
      <c r="V50" s="17">
        <f t="shared" si="48"/>
        <v>1</v>
      </c>
      <c r="W50" s="17">
        <f t="shared" si="48"/>
        <v>0</v>
      </c>
      <c r="X50" s="17">
        <f t="shared" si="48"/>
        <v>0</v>
      </c>
      <c r="Z50" s="1">
        <v>1.0</v>
      </c>
      <c r="AC50" s="1">
        <v>1.0</v>
      </c>
      <c r="AF50" s="1">
        <v>1.0</v>
      </c>
    </row>
    <row r="51">
      <c r="A51" s="13">
        <f>vlookup($B51,Matchdays!$A$2:$E$20,3)</f>
        <v>45793</v>
      </c>
      <c r="B51" s="1">
        <v>17.0</v>
      </c>
      <c r="C51" s="17">
        <f>vlookup($B51,Matchdays!$A$2:$E$20,2)</f>
        <v>4</v>
      </c>
      <c r="D51" s="17" t="str">
        <f>vlookup($C51,Holidays!$A:$G,2)</f>
        <v>Turkey</v>
      </c>
      <c r="E51" s="17" t="str">
        <f>vlookup($C51,Holidays!$A:$G,3)</f>
        <v>Belek</v>
      </c>
      <c r="F51" s="17" t="str">
        <f>vlookup($B51,Matchdays!$A$2:$E$20,4)</f>
        <v>Kaya Belek</v>
      </c>
      <c r="G51" s="17" t="str">
        <f>vlookup($B51,Matchdays!$A$2:$E$20,5)</f>
        <v>Singles</v>
      </c>
      <c r="H51" s="1">
        <v>44.0</v>
      </c>
      <c r="I51" s="1" t="s">
        <v>23</v>
      </c>
      <c r="K51" s="1" t="s">
        <v>26</v>
      </c>
      <c r="M51" s="1" t="s">
        <v>12</v>
      </c>
      <c r="N51" s="1" t="str">
        <f t="shared" ref="N51:N56" si="50">if(J51="","",M51)</f>
        <v/>
      </c>
      <c r="O51" s="1" t="s">
        <v>13</v>
      </c>
      <c r="P51" s="1" t="str">
        <f t="shared" ref="P51:P56" si="51">if(L51="","",O51)</f>
        <v/>
      </c>
      <c r="Q51" s="17" t="s">
        <v>13</v>
      </c>
      <c r="R51" s="6" t="s">
        <v>105</v>
      </c>
      <c r="S51" s="17" t="str">
        <f>vlookup($C51,Holidays!$A:$G,6)</f>
        <v>Cranham</v>
      </c>
      <c r="T51" s="17" t="str">
        <f>vlookup($C51,Holidays!$A:$G,7)</f>
        <v>James</v>
      </c>
      <c r="U51" s="17">
        <f t="shared" ref="U51:X51" si="49">if(M51=$Q51,1,if($Q51 = "Tie",0.5,0))</f>
        <v>0</v>
      </c>
      <c r="V51" s="17">
        <f t="shared" si="49"/>
        <v>0</v>
      </c>
      <c r="W51" s="17">
        <f t="shared" si="49"/>
        <v>1</v>
      </c>
      <c r="X51" s="17">
        <f t="shared" si="49"/>
        <v>0</v>
      </c>
      <c r="AC51" s="1">
        <v>1.0</v>
      </c>
    </row>
    <row r="52">
      <c r="A52" s="13">
        <f>vlookup($B52,Matchdays!$A$2:$E$20,3)</f>
        <v>45793</v>
      </c>
      <c r="B52" s="1">
        <v>17.0</v>
      </c>
      <c r="C52" s="17">
        <f>vlookup($B52,Matchdays!$A$2:$E$20,2)</f>
        <v>4</v>
      </c>
      <c r="D52" s="17" t="str">
        <f>vlookup($C52,Holidays!$A:$G,2)</f>
        <v>Turkey</v>
      </c>
      <c r="E52" s="17" t="str">
        <f>vlookup($C52,Holidays!$A:$G,3)</f>
        <v>Belek</v>
      </c>
      <c r="F52" s="17" t="str">
        <f>vlookup($B52,Matchdays!$A$2:$E$20,4)</f>
        <v>Kaya Belek</v>
      </c>
      <c r="G52" s="17" t="str">
        <f>vlookup($B52,Matchdays!$A$2:$E$20,5)</f>
        <v>Singles</v>
      </c>
      <c r="H52" s="1">
        <v>45.0</v>
      </c>
      <c r="I52" s="1" t="s">
        <v>54</v>
      </c>
      <c r="K52" s="1" t="s">
        <v>27</v>
      </c>
      <c r="M52" s="1" t="s">
        <v>12</v>
      </c>
      <c r="N52" s="1" t="str">
        <f t="shared" si="50"/>
        <v/>
      </c>
      <c r="O52" s="1" t="s">
        <v>13</v>
      </c>
      <c r="P52" s="1" t="str">
        <f t="shared" si="51"/>
        <v/>
      </c>
      <c r="Q52" s="17" t="s">
        <v>12</v>
      </c>
      <c r="R52" s="6" t="s">
        <v>99</v>
      </c>
      <c r="S52" s="17" t="str">
        <f>vlookup($C52,Holidays!$A:$G,6)</f>
        <v>Cranham</v>
      </c>
      <c r="T52" s="17" t="str">
        <f>vlookup($C52,Holidays!$A:$G,7)</f>
        <v>James</v>
      </c>
      <c r="U52" s="17">
        <f t="shared" ref="U52:X52" si="52">if(M52=$Q52,1,if($Q52 = "Tie",0.5,0))</f>
        <v>1</v>
      </c>
      <c r="V52" s="17">
        <f t="shared" si="52"/>
        <v>0</v>
      </c>
      <c r="W52" s="17">
        <f t="shared" si="52"/>
        <v>0</v>
      </c>
      <c r="X52" s="17">
        <f t="shared" si="52"/>
        <v>0</v>
      </c>
      <c r="AA52" s="1">
        <v>1.0</v>
      </c>
      <c r="AC52" s="1">
        <v>1.0</v>
      </c>
    </row>
    <row r="53">
      <c r="A53" s="13">
        <f>vlookup($B53,Matchdays!$A$2:$E$20,3)</f>
        <v>45793</v>
      </c>
      <c r="B53" s="1">
        <v>17.0</v>
      </c>
      <c r="C53" s="17">
        <f>vlookup($B53,Matchdays!$A$2:$E$20,2)</f>
        <v>4</v>
      </c>
      <c r="D53" s="17" t="str">
        <f>vlookup($C53,Holidays!$A:$G,2)</f>
        <v>Turkey</v>
      </c>
      <c r="E53" s="17" t="str">
        <f>vlookup($C53,Holidays!$A:$G,3)</f>
        <v>Belek</v>
      </c>
      <c r="F53" s="17" t="str">
        <f>vlookup($B53,Matchdays!$A$2:$E$20,4)</f>
        <v>Kaya Belek</v>
      </c>
      <c r="G53" s="17" t="str">
        <f>vlookup($B53,Matchdays!$A$2:$E$20,5)</f>
        <v>Singles</v>
      </c>
      <c r="H53" s="1">
        <v>46.0</v>
      </c>
      <c r="I53" s="1" t="s">
        <v>16</v>
      </c>
      <c r="K53" s="1" t="s">
        <v>22</v>
      </c>
      <c r="M53" s="1" t="s">
        <v>12</v>
      </c>
      <c r="N53" s="1" t="str">
        <f t="shared" si="50"/>
        <v/>
      </c>
      <c r="O53" s="1" t="s">
        <v>13</v>
      </c>
      <c r="P53" s="1" t="str">
        <f t="shared" si="51"/>
        <v/>
      </c>
      <c r="Q53" s="17" t="s">
        <v>13</v>
      </c>
      <c r="R53" s="6" t="s">
        <v>114</v>
      </c>
      <c r="S53" s="17" t="str">
        <f>vlookup($C53,Holidays!$A:$G,6)</f>
        <v>Cranham</v>
      </c>
      <c r="T53" s="17" t="str">
        <f>vlookup($C53,Holidays!$A:$G,7)</f>
        <v>James</v>
      </c>
      <c r="U53" s="17">
        <f t="shared" ref="U53:X53" si="53">if(M53=$Q53,1,if($Q53 = "Tie",0.5,0))</f>
        <v>0</v>
      </c>
      <c r="V53" s="17">
        <f t="shared" si="53"/>
        <v>0</v>
      </c>
      <c r="W53" s="17">
        <f t="shared" si="53"/>
        <v>1</v>
      </c>
      <c r="X53" s="17">
        <f t="shared" si="53"/>
        <v>0</v>
      </c>
      <c r="AC53" s="1">
        <v>3.0</v>
      </c>
    </row>
    <row r="54">
      <c r="A54" s="13">
        <f>vlookup($B54,Matchdays!$A$2:$E$20,3)</f>
        <v>45793</v>
      </c>
      <c r="B54" s="1">
        <v>17.0</v>
      </c>
      <c r="C54" s="17">
        <f>vlookup($B54,Matchdays!$A$2:$E$20,2)</f>
        <v>4</v>
      </c>
      <c r="D54" s="17" t="str">
        <f>vlookup($C54,Holidays!$A:$G,2)</f>
        <v>Turkey</v>
      </c>
      <c r="E54" s="17" t="str">
        <f>vlookup($C54,Holidays!$A:$G,3)</f>
        <v>Belek</v>
      </c>
      <c r="F54" s="17" t="str">
        <f>vlookup($B54,Matchdays!$A$2:$E$20,4)</f>
        <v>Kaya Belek</v>
      </c>
      <c r="G54" s="17" t="str">
        <f>vlookup($B54,Matchdays!$A$2:$E$20,5)</f>
        <v>Singles</v>
      </c>
      <c r="H54" s="1">
        <v>47.0</v>
      </c>
      <c r="I54" s="1" t="s">
        <v>14</v>
      </c>
      <c r="K54" s="1" t="s">
        <v>20</v>
      </c>
      <c r="M54" s="1" t="s">
        <v>12</v>
      </c>
      <c r="N54" s="1" t="str">
        <f t="shared" si="50"/>
        <v/>
      </c>
      <c r="O54" s="1" t="s">
        <v>13</v>
      </c>
      <c r="P54" s="1" t="str">
        <f t="shared" si="51"/>
        <v/>
      </c>
      <c r="Q54" s="17" t="s">
        <v>12</v>
      </c>
      <c r="R54" s="6" t="s">
        <v>115</v>
      </c>
      <c r="S54" s="17" t="str">
        <f>vlookup($C54,Holidays!$A:$G,6)</f>
        <v>Cranham</v>
      </c>
      <c r="T54" s="17" t="str">
        <f>vlookup($C54,Holidays!$A:$G,7)</f>
        <v>James</v>
      </c>
      <c r="U54" s="17">
        <f t="shared" ref="U54:X54" si="54">if(M54=$Q54,1,if($Q54 = "Tie",0.5,0))</f>
        <v>1</v>
      </c>
      <c r="V54" s="17">
        <f t="shared" si="54"/>
        <v>0</v>
      </c>
      <c r="W54" s="17">
        <f t="shared" si="54"/>
        <v>0</v>
      </c>
      <c r="X54" s="17">
        <f t="shared" si="54"/>
        <v>0</v>
      </c>
    </row>
    <row r="55">
      <c r="A55" s="13">
        <f>vlookup($B55,Matchdays!$A$2:$E$20,3)</f>
        <v>45793</v>
      </c>
      <c r="B55" s="1">
        <v>17.0</v>
      </c>
      <c r="C55" s="17">
        <f>vlookup($B55,Matchdays!$A$2:$E$20,2)</f>
        <v>4</v>
      </c>
      <c r="D55" s="17" t="str">
        <f>vlookup($C55,Holidays!$A:$G,2)</f>
        <v>Turkey</v>
      </c>
      <c r="E55" s="17" t="str">
        <f>vlookup($C55,Holidays!$A:$G,3)</f>
        <v>Belek</v>
      </c>
      <c r="F55" s="17" t="str">
        <f>vlookup($B55,Matchdays!$A$2:$E$20,4)</f>
        <v>Kaya Belek</v>
      </c>
      <c r="G55" s="17" t="str">
        <f>vlookup($B55,Matchdays!$A$2:$E$20,5)</f>
        <v>Singles</v>
      </c>
      <c r="H55" s="1">
        <v>48.0</v>
      </c>
      <c r="I55" s="1" t="s">
        <v>19</v>
      </c>
      <c r="K55" s="1" t="s">
        <v>48</v>
      </c>
      <c r="M55" s="1" t="s">
        <v>12</v>
      </c>
      <c r="N55" s="1" t="str">
        <f t="shared" si="50"/>
        <v/>
      </c>
      <c r="O55" s="1" t="s">
        <v>13</v>
      </c>
      <c r="P55" s="1" t="str">
        <f t="shared" si="51"/>
        <v/>
      </c>
      <c r="Q55" s="17" t="s">
        <v>107</v>
      </c>
      <c r="R55" s="6" t="s">
        <v>108</v>
      </c>
      <c r="S55" s="17" t="str">
        <f>vlookup($C55,Holidays!$A:$G,6)</f>
        <v>Cranham</v>
      </c>
      <c r="T55" s="17" t="str">
        <f>vlookup($C55,Holidays!$A:$G,7)</f>
        <v>James</v>
      </c>
      <c r="U55" s="17">
        <f t="shared" ref="U55:X55" si="55">if(M55=$Q55,1,if($Q55 = "Tie",0.5,0))</f>
        <v>0.5</v>
      </c>
      <c r="V55" s="17">
        <f t="shared" si="55"/>
        <v>0.5</v>
      </c>
      <c r="W55" s="17">
        <f t="shared" si="55"/>
        <v>0.5</v>
      </c>
      <c r="X55" s="17">
        <f t="shared" si="55"/>
        <v>0.5</v>
      </c>
    </row>
    <row r="56">
      <c r="A56" s="13">
        <f>vlookup($B56,Matchdays!$A$2:$E$20,3)</f>
        <v>45793</v>
      </c>
      <c r="B56" s="1">
        <v>17.0</v>
      </c>
      <c r="C56" s="17">
        <f>vlookup($B56,Matchdays!$A$2:$E$20,2)</f>
        <v>4</v>
      </c>
      <c r="D56" s="17" t="str">
        <f>vlookup($C56,Holidays!$A:$G,2)</f>
        <v>Turkey</v>
      </c>
      <c r="E56" s="17" t="str">
        <f>vlookup($C56,Holidays!$A:$G,3)</f>
        <v>Belek</v>
      </c>
      <c r="F56" s="17" t="str">
        <f>vlookup($B56,Matchdays!$A$2:$E$20,4)</f>
        <v>Kaya Belek</v>
      </c>
      <c r="G56" s="17" t="str">
        <f>vlookup($B56,Matchdays!$A$2:$E$20,5)</f>
        <v>Singles</v>
      </c>
      <c r="H56" s="1">
        <v>49.0</v>
      </c>
      <c r="I56" s="1" t="s">
        <v>70</v>
      </c>
      <c r="K56" s="1" t="s">
        <v>15</v>
      </c>
      <c r="M56" s="1" t="s">
        <v>12</v>
      </c>
      <c r="N56" s="1" t="str">
        <f t="shared" si="50"/>
        <v/>
      </c>
      <c r="O56" s="1" t="s">
        <v>13</v>
      </c>
      <c r="P56" s="1" t="str">
        <f t="shared" si="51"/>
        <v/>
      </c>
      <c r="Q56" s="17" t="s">
        <v>13</v>
      </c>
      <c r="R56" s="6" t="s">
        <v>110</v>
      </c>
      <c r="S56" s="17" t="str">
        <f>vlookup($C56,Holidays!$A:$G,6)</f>
        <v>Cranham</v>
      </c>
      <c r="T56" s="17" t="str">
        <f>vlookup($C56,Holidays!$A:$G,7)</f>
        <v>James</v>
      </c>
      <c r="U56" s="17">
        <f t="shared" ref="U56:X56" si="56">if(M56=$Q56,1,if($Q56 = "Tie",0.5,0))</f>
        <v>0</v>
      </c>
      <c r="V56" s="17">
        <f t="shared" si="56"/>
        <v>0</v>
      </c>
      <c r="W56" s="17">
        <f t="shared" si="56"/>
        <v>1</v>
      </c>
      <c r="X56" s="17">
        <f t="shared" si="56"/>
        <v>0</v>
      </c>
    </row>
    <row r="57">
      <c r="R57" s="9"/>
    </row>
    <row r="58">
      <c r="R58" s="9"/>
    </row>
    <row r="59">
      <c r="R59" s="9"/>
    </row>
    <row r="60">
      <c r="R60" s="9"/>
    </row>
    <row r="61">
      <c r="F61" s="15"/>
      <c r="G61" s="16"/>
      <c r="H61" s="16"/>
      <c r="I61" s="16"/>
      <c r="J61" s="16"/>
      <c r="K61" s="16"/>
      <c r="L61" s="16"/>
      <c r="M61" s="16"/>
      <c r="N61" s="16"/>
      <c r="R61" s="9"/>
    </row>
    <row r="62">
      <c r="L62" s="24"/>
      <c r="R62" s="9"/>
    </row>
    <row r="63">
      <c r="L63" s="24"/>
      <c r="R63" s="9"/>
    </row>
    <row r="64">
      <c r="L64" s="25"/>
      <c r="R64" s="9"/>
    </row>
    <row r="65">
      <c r="L65" s="25"/>
      <c r="R65" s="9"/>
    </row>
    <row r="66">
      <c r="L66" s="26"/>
      <c r="R66" s="9"/>
    </row>
    <row r="67">
      <c r="L67" s="26"/>
      <c r="R67" s="9"/>
    </row>
    <row r="68">
      <c r="L68" s="26"/>
      <c r="R68" s="9"/>
    </row>
    <row r="69">
      <c r="L69" s="24"/>
      <c r="R69" s="9"/>
    </row>
    <row r="70">
      <c r="R70" s="9"/>
    </row>
    <row r="71">
      <c r="R71" s="9"/>
    </row>
    <row r="72">
      <c r="R72" s="9"/>
    </row>
    <row r="73">
      <c r="R73" s="9"/>
    </row>
    <row r="74">
      <c r="R74" s="9"/>
    </row>
    <row r="75">
      <c r="R75" s="9"/>
    </row>
    <row r="76">
      <c r="R76" s="9"/>
    </row>
    <row r="77">
      <c r="R77" s="9"/>
    </row>
    <row r="78">
      <c r="R78" s="9"/>
    </row>
    <row r="79">
      <c r="R79" s="9"/>
    </row>
    <row r="80">
      <c r="R80" s="9"/>
    </row>
    <row r="81">
      <c r="R81" s="9"/>
    </row>
    <row r="82">
      <c r="R82" s="9"/>
    </row>
    <row r="83">
      <c r="R83" s="9"/>
    </row>
    <row r="84">
      <c r="R84" s="9"/>
    </row>
    <row r="85">
      <c r="R85" s="9"/>
    </row>
    <row r="86">
      <c r="R86" s="9"/>
    </row>
    <row r="87">
      <c r="R87" s="9"/>
    </row>
    <row r="88">
      <c r="R88" s="9"/>
    </row>
    <row r="89">
      <c r="R89" s="9"/>
    </row>
    <row r="90">
      <c r="R90" s="9"/>
    </row>
    <row r="91">
      <c r="R91" s="9"/>
    </row>
    <row r="92">
      <c r="R92" s="9"/>
    </row>
    <row r="93">
      <c r="R93" s="9"/>
    </row>
    <row r="94">
      <c r="R94" s="9"/>
    </row>
    <row r="95">
      <c r="R95" s="9"/>
    </row>
    <row r="96">
      <c r="R96" s="9"/>
    </row>
    <row r="97">
      <c r="R97" s="9"/>
    </row>
    <row r="98">
      <c r="R98" s="9"/>
    </row>
    <row r="99">
      <c r="R99" s="9"/>
    </row>
    <row r="100">
      <c r="R100" s="9"/>
    </row>
    <row r="101">
      <c r="R101" s="9"/>
    </row>
    <row r="102">
      <c r="R102" s="9"/>
    </row>
    <row r="103">
      <c r="R103" s="9"/>
    </row>
    <row r="104">
      <c r="R104" s="9"/>
    </row>
    <row r="105">
      <c r="R105" s="9"/>
    </row>
    <row r="106">
      <c r="R106" s="9"/>
    </row>
    <row r="107">
      <c r="R107" s="9"/>
    </row>
    <row r="108">
      <c r="R108" s="9"/>
    </row>
    <row r="109">
      <c r="R109" s="9"/>
    </row>
    <row r="110">
      <c r="R110" s="9"/>
    </row>
    <row r="111">
      <c r="R111" s="9"/>
    </row>
    <row r="112">
      <c r="R112" s="9"/>
    </row>
    <row r="113">
      <c r="R113" s="9"/>
    </row>
    <row r="114">
      <c r="R114" s="9"/>
    </row>
    <row r="115">
      <c r="R115" s="9"/>
    </row>
    <row r="116">
      <c r="R116" s="9"/>
    </row>
    <row r="117">
      <c r="R117" s="9"/>
    </row>
    <row r="118">
      <c r="R118" s="9"/>
    </row>
    <row r="119">
      <c r="R119" s="9"/>
    </row>
    <row r="120">
      <c r="R120" s="9"/>
    </row>
    <row r="121">
      <c r="R121" s="9"/>
    </row>
    <row r="122">
      <c r="R122" s="9"/>
    </row>
    <row r="123">
      <c r="R123" s="9"/>
    </row>
    <row r="124">
      <c r="R124" s="9"/>
    </row>
    <row r="125">
      <c r="R125" s="9"/>
    </row>
    <row r="126">
      <c r="R126" s="9"/>
    </row>
    <row r="127">
      <c r="R127" s="9"/>
    </row>
    <row r="128">
      <c r="R128" s="9"/>
    </row>
    <row r="129">
      <c r="R129" s="9"/>
    </row>
    <row r="130">
      <c r="R130" s="9"/>
    </row>
    <row r="131">
      <c r="R131" s="9"/>
    </row>
    <row r="132">
      <c r="R132" s="9"/>
    </row>
    <row r="133">
      <c r="R133" s="9"/>
    </row>
    <row r="134">
      <c r="R134" s="9"/>
    </row>
    <row r="135">
      <c r="R135" s="9"/>
    </row>
    <row r="136">
      <c r="R136" s="9"/>
    </row>
    <row r="137">
      <c r="R137" s="9"/>
    </row>
    <row r="138">
      <c r="R138" s="9"/>
    </row>
    <row r="139">
      <c r="R139" s="9"/>
    </row>
    <row r="140">
      <c r="R140" s="9"/>
    </row>
    <row r="141">
      <c r="R141" s="9"/>
    </row>
    <row r="142">
      <c r="R142" s="9"/>
    </row>
    <row r="143">
      <c r="R143" s="9"/>
    </row>
    <row r="144">
      <c r="R144" s="9"/>
    </row>
    <row r="145">
      <c r="R145" s="9"/>
    </row>
    <row r="146">
      <c r="R146" s="9"/>
    </row>
    <row r="147">
      <c r="R147" s="9"/>
    </row>
    <row r="148">
      <c r="R148" s="9"/>
    </row>
    <row r="149">
      <c r="R149" s="9"/>
    </row>
    <row r="150">
      <c r="R150" s="9"/>
    </row>
    <row r="151">
      <c r="R151" s="9"/>
    </row>
    <row r="152">
      <c r="R152" s="9"/>
    </row>
    <row r="153">
      <c r="R153" s="9"/>
    </row>
    <row r="154">
      <c r="R154" s="9"/>
    </row>
    <row r="155">
      <c r="R155" s="9"/>
    </row>
    <row r="156">
      <c r="R156" s="9"/>
    </row>
    <row r="157">
      <c r="R157" s="9"/>
    </row>
    <row r="158">
      <c r="R158" s="9"/>
    </row>
    <row r="159">
      <c r="R159" s="9"/>
    </row>
    <row r="160">
      <c r="R160" s="9"/>
    </row>
    <row r="161">
      <c r="R161" s="9"/>
    </row>
    <row r="162">
      <c r="R162" s="9"/>
    </row>
    <row r="163">
      <c r="R163" s="9"/>
    </row>
    <row r="164">
      <c r="R164" s="9"/>
    </row>
    <row r="165">
      <c r="R165" s="9"/>
    </row>
    <row r="166">
      <c r="R166" s="9"/>
    </row>
    <row r="167">
      <c r="R167" s="9"/>
    </row>
    <row r="168">
      <c r="R168" s="9"/>
    </row>
    <row r="169">
      <c r="R169" s="9"/>
    </row>
    <row r="170">
      <c r="R170" s="9"/>
    </row>
    <row r="171">
      <c r="R171" s="9"/>
    </row>
    <row r="172">
      <c r="R172" s="9"/>
    </row>
    <row r="173">
      <c r="R173" s="9"/>
    </row>
    <row r="174">
      <c r="R174" s="9"/>
    </row>
    <row r="175">
      <c r="R175" s="9"/>
    </row>
    <row r="176">
      <c r="R176" s="9"/>
    </row>
    <row r="177">
      <c r="R177" s="9"/>
    </row>
    <row r="178">
      <c r="R178" s="9"/>
    </row>
    <row r="179">
      <c r="R179" s="9"/>
    </row>
    <row r="180">
      <c r="R180" s="9"/>
    </row>
    <row r="181">
      <c r="R181" s="9"/>
    </row>
    <row r="182">
      <c r="R182" s="9"/>
    </row>
    <row r="183">
      <c r="R183" s="9"/>
    </row>
    <row r="184">
      <c r="R184" s="9"/>
    </row>
    <row r="185">
      <c r="R185" s="9"/>
    </row>
    <row r="186">
      <c r="R186" s="9"/>
    </row>
    <row r="187">
      <c r="R187" s="9"/>
    </row>
    <row r="188">
      <c r="R188" s="9"/>
    </row>
    <row r="189">
      <c r="R189" s="9"/>
    </row>
    <row r="190">
      <c r="R190" s="9"/>
    </row>
    <row r="191">
      <c r="R191" s="9"/>
    </row>
    <row r="192">
      <c r="R192" s="9"/>
    </row>
    <row r="193">
      <c r="R193" s="9"/>
    </row>
    <row r="194">
      <c r="R194" s="9"/>
    </row>
    <row r="195">
      <c r="R195" s="9"/>
    </row>
    <row r="196">
      <c r="R196" s="9"/>
    </row>
    <row r="197">
      <c r="R197" s="9"/>
    </row>
    <row r="198">
      <c r="R198" s="9"/>
    </row>
    <row r="199">
      <c r="R199" s="9"/>
    </row>
    <row r="200">
      <c r="R200" s="9"/>
    </row>
    <row r="201">
      <c r="R201" s="9"/>
    </row>
    <row r="202">
      <c r="R202" s="9"/>
    </row>
    <row r="203">
      <c r="R203" s="9"/>
    </row>
    <row r="204">
      <c r="R204" s="9"/>
    </row>
    <row r="205">
      <c r="R205" s="9"/>
    </row>
    <row r="206">
      <c r="R206" s="9"/>
    </row>
    <row r="207">
      <c r="R207" s="9"/>
    </row>
    <row r="208">
      <c r="R208" s="9"/>
    </row>
    <row r="209">
      <c r="R209" s="9"/>
    </row>
    <row r="210">
      <c r="R210" s="9"/>
    </row>
    <row r="211">
      <c r="R211" s="9"/>
    </row>
    <row r="212">
      <c r="R212" s="9"/>
    </row>
    <row r="213">
      <c r="R213" s="9"/>
    </row>
    <row r="214">
      <c r="R214" s="9"/>
    </row>
    <row r="215">
      <c r="R215" s="9"/>
    </row>
    <row r="216">
      <c r="R216" s="9"/>
    </row>
    <row r="217">
      <c r="R217" s="9"/>
    </row>
    <row r="218">
      <c r="R218" s="9"/>
    </row>
    <row r="219">
      <c r="R219" s="9"/>
    </row>
    <row r="220">
      <c r="R220" s="9"/>
    </row>
    <row r="221">
      <c r="R221" s="9"/>
    </row>
    <row r="222">
      <c r="R222" s="9"/>
    </row>
    <row r="223">
      <c r="R223" s="9"/>
    </row>
    <row r="224">
      <c r="R224" s="9"/>
    </row>
    <row r="225">
      <c r="R225" s="9"/>
    </row>
    <row r="226">
      <c r="R226" s="9"/>
    </row>
    <row r="227">
      <c r="R227" s="9"/>
    </row>
    <row r="228">
      <c r="R228" s="9"/>
    </row>
    <row r="229">
      <c r="R229" s="9"/>
    </row>
    <row r="230">
      <c r="R230" s="9"/>
    </row>
    <row r="231">
      <c r="R231" s="9"/>
    </row>
    <row r="232">
      <c r="R232" s="9"/>
    </row>
    <row r="233">
      <c r="R233" s="9"/>
    </row>
    <row r="234">
      <c r="R234" s="9"/>
    </row>
    <row r="235">
      <c r="R235" s="9"/>
    </row>
    <row r="236">
      <c r="R236" s="9"/>
    </row>
    <row r="237">
      <c r="R237" s="9"/>
    </row>
    <row r="238">
      <c r="R238" s="9"/>
    </row>
    <row r="239">
      <c r="R239" s="9"/>
    </row>
    <row r="240">
      <c r="R240" s="9"/>
    </row>
    <row r="241">
      <c r="R241" s="9"/>
    </row>
    <row r="242">
      <c r="R242" s="9"/>
    </row>
    <row r="243">
      <c r="R243" s="9"/>
    </row>
    <row r="244">
      <c r="R244" s="9"/>
    </row>
    <row r="245">
      <c r="R245" s="9"/>
    </row>
    <row r="246">
      <c r="R246" s="9"/>
    </row>
    <row r="247">
      <c r="R247" s="9"/>
    </row>
    <row r="248">
      <c r="R248" s="9"/>
    </row>
    <row r="249">
      <c r="R249" s="9"/>
    </row>
    <row r="250">
      <c r="R250" s="9"/>
    </row>
    <row r="251">
      <c r="R251" s="9"/>
    </row>
    <row r="252">
      <c r="R252" s="9"/>
    </row>
    <row r="253">
      <c r="R253" s="9"/>
    </row>
    <row r="254">
      <c r="R254" s="9"/>
    </row>
    <row r="255">
      <c r="R255" s="9"/>
    </row>
    <row r="256">
      <c r="R256" s="9"/>
    </row>
    <row r="257">
      <c r="R257" s="9"/>
    </row>
    <row r="258">
      <c r="R258" s="9"/>
    </row>
    <row r="259">
      <c r="R259" s="9"/>
    </row>
    <row r="260">
      <c r="R260" s="9"/>
    </row>
    <row r="261">
      <c r="R261" s="9"/>
    </row>
    <row r="262">
      <c r="R262" s="9"/>
    </row>
    <row r="263">
      <c r="R263" s="9"/>
    </row>
    <row r="264">
      <c r="R264" s="9"/>
    </row>
    <row r="265">
      <c r="R265" s="9"/>
    </row>
    <row r="266">
      <c r="R266" s="9"/>
    </row>
    <row r="267">
      <c r="R267" s="9"/>
    </row>
    <row r="268">
      <c r="R268" s="9"/>
    </row>
    <row r="269">
      <c r="R269" s="9"/>
    </row>
    <row r="270">
      <c r="R270" s="9"/>
    </row>
    <row r="271">
      <c r="R271" s="9"/>
    </row>
    <row r="272">
      <c r="R272" s="9"/>
    </row>
    <row r="273">
      <c r="R273" s="9"/>
    </row>
    <row r="274">
      <c r="R274" s="9"/>
    </row>
    <row r="275">
      <c r="R275" s="9"/>
    </row>
    <row r="276">
      <c r="R276" s="9"/>
    </row>
    <row r="277">
      <c r="R277" s="9"/>
    </row>
    <row r="278">
      <c r="R278" s="9"/>
    </row>
    <row r="279">
      <c r="R279" s="9"/>
    </row>
    <row r="280">
      <c r="R280" s="9"/>
    </row>
    <row r="281">
      <c r="R281" s="9"/>
    </row>
    <row r="282">
      <c r="R282" s="9"/>
    </row>
    <row r="283">
      <c r="R283" s="9"/>
    </row>
    <row r="284">
      <c r="R284" s="9"/>
    </row>
    <row r="285">
      <c r="R285" s="9"/>
    </row>
    <row r="286">
      <c r="R286" s="9"/>
    </row>
    <row r="287">
      <c r="R287" s="9"/>
    </row>
    <row r="288">
      <c r="R288" s="9"/>
    </row>
    <row r="289">
      <c r="R289" s="9"/>
    </row>
    <row r="290">
      <c r="R290" s="9"/>
    </row>
    <row r="291">
      <c r="R291" s="9"/>
    </row>
    <row r="292">
      <c r="R292" s="9"/>
    </row>
    <row r="293">
      <c r="R293" s="9"/>
    </row>
    <row r="294">
      <c r="R294" s="9"/>
    </row>
    <row r="295">
      <c r="R295" s="9"/>
    </row>
    <row r="296">
      <c r="R296" s="9"/>
    </row>
    <row r="297">
      <c r="R297" s="9"/>
    </row>
    <row r="298">
      <c r="R298" s="9"/>
    </row>
    <row r="299">
      <c r="R299" s="9"/>
    </row>
    <row r="300">
      <c r="R300" s="9"/>
    </row>
    <row r="301">
      <c r="R301" s="9"/>
    </row>
    <row r="302">
      <c r="R302" s="9"/>
    </row>
    <row r="303">
      <c r="R303" s="9"/>
    </row>
    <row r="304">
      <c r="R304" s="9"/>
    </row>
    <row r="305">
      <c r="R305" s="9"/>
    </row>
    <row r="306">
      <c r="R306" s="9"/>
    </row>
    <row r="307">
      <c r="R307" s="9"/>
    </row>
    <row r="308">
      <c r="R308" s="9"/>
    </row>
    <row r="309">
      <c r="R309" s="9"/>
    </row>
    <row r="310">
      <c r="R310" s="9"/>
    </row>
    <row r="311">
      <c r="R311" s="9"/>
    </row>
    <row r="312">
      <c r="R312" s="9"/>
    </row>
    <row r="313">
      <c r="R313" s="9"/>
    </row>
    <row r="314">
      <c r="R314" s="9"/>
    </row>
    <row r="315">
      <c r="R315" s="9"/>
    </row>
    <row r="316">
      <c r="R316" s="9"/>
    </row>
    <row r="317">
      <c r="R317" s="9"/>
    </row>
    <row r="318">
      <c r="R318" s="9"/>
    </row>
    <row r="319">
      <c r="R319" s="9"/>
    </row>
    <row r="320">
      <c r="R320" s="9"/>
    </row>
    <row r="321">
      <c r="R321" s="9"/>
    </row>
    <row r="322">
      <c r="R322" s="9"/>
    </row>
    <row r="323">
      <c r="R323" s="9"/>
    </row>
    <row r="324">
      <c r="R324" s="9"/>
    </row>
    <row r="325">
      <c r="R325" s="9"/>
    </row>
    <row r="326">
      <c r="R326" s="9"/>
    </row>
    <row r="327">
      <c r="R327" s="9"/>
    </row>
    <row r="328">
      <c r="R328" s="9"/>
    </row>
    <row r="329">
      <c r="R329" s="9"/>
    </row>
    <row r="330">
      <c r="R330" s="9"/>
    </row>
    <row r="331">
      <c r="R331" s="9"/>
    </row>
    <row r="332">
      <c r="R332" s="9"/>
    </row>
    <row r="333">
      <c r="R333" s="9"/>
    </row>
    <row r="334">
      <c r="R334" s="9"/>
    </row>
    <row r="335">
      <c r="R335" s="9"/>
    </row>
    <row r="336">
      <c r="R336" s="9"/>
    </row>
    <row r="337">
      <c r="R337" s="9"/>
    </row>
    <row r="338">
      <c r="R338" s="9"/>
    </row>
    <row r="339">
      <c r="R339" s="9"/>
    </row>
    <row r="340">
      <c r="R340" s="9"/>
    </row>
    <row r="341">
      <c r="R341" s="9"/>
    </row>
    <row r="342">
      <c r="R342" s="9"/>
    </row>
    <row r="343">
      <c r="R343" s="9"/>
    </row>
    <row r="344">
      <c r="R344" s="9"/>
    </row>
    <row r="345">
      <c r="R345" s="9"/>
    </row>
    <row r="346">
      <c r="R346" s="9"/>
    </row>
    <row r="347">
      <c r="R347" s="9"/>
    </row>
    <row r="348">
      <c r="R348" s="9"/>
    </row>
    <row r="349">
      <c r="R349" s="9"/>
    </row>
    <row r="350">
      <c r="R350" s="9"/>
    </row>
    <row r="351">
      <c r="R351" s="9"/>
    </row>
    <row r="352">
      <c r="R352" s="9"/>
    </row>
    <row r="353">
      <c r="R353" s="9"/>
    </row>
    <row r="354">
      <c r="R354" s="9"/>
    </row>
    <row r="355">
      <c r="R355" s="9"/>
    </row>
    <row r="356">
      <c r="R356" s="9"/>
    </row>
    <row r="357">
      <c r="R357" s="9"/>
    </row>
    <row r="358">
      <c r="R358" s="9"/>
    </row>
    <row r="359">
      <c r="R359" s="9"/>
    </row>
    <row r="360">
      <c r="R360" s="9"/>
    </row>
    <row r="361">
      <c r="R361" s="9"/>
    </row>
    <row r="362">
      <c r="R362" s="9"/>
    </row>
    <row r="363">
      <c r="R363" s="9"/>
    </row>
    <row r="364">
      <c r="R364" s="9"/>
    </row>
    <row r="365">
      <c r="R365" s="9"/>
    </row>
    <row r="366">
      <c r="R366" s="9"/>
    </row>
    <row r="367">
      <c r="R367" s="9"/>
    </row>
    <row r="368">
      <c r="R368" s="9"/>
    </row>
    <row r="369">
      <c r="R369" s="9"/>
    </row>
    <row r="370">
      <c r="R370" s="9"/>
    </row>
    <row r="371">
      <c r="R371" s="9"/>
    </row>
    <row r="372">
      <c r="R372" s="9"/>
    </row>
    <row r="373">
      <c r="R373" s="9"/>
    </row>
    <row r="374">
      <c r="R374" s="9"/>
    </row>
    <row r="375">
      <c r="R375" s="9"/>
    </row>
    <row r="376">
      <c r="R376" s="9"/>
    </row>
    <row r="377">
      <c r="R377" s="9"/>
    </row>
    <row r="378">
      <c r="R378" s="9"/>
    </row>
    <row r="379">
      <c r="R379" s="9"/>
    </row>
    <row r="380">
      <c r="R380" s="9"/>
    </row>
    <row r="381">
      <c r="R381" s="9"/>
    </row>
    <row r="382">
      <c r="R382" s="9"/>
    </row>
    <row r="383">
      <c r="R383" s="9"/>
    </row>
    <row r="384">
      <c r="R384" s="9"/>
    </row>
    <row r="385">
      <c r="R385" s="9"/>
    </row>
    <row r="386">
      <c r="R386" s="9"/>
    </row>
    <row r="387">
      <c r="R387" s="9"/>
    </row>
    <row r="388">
      <c r="R388" s="9"/>
    </row>
    <row r="389">
      <c r="R389" s="9"/>
    </row>
    <row r="390">
      <c r="R390" s="9"/>
    </row>
    <row r="391">
      <c r="R391" s="9"/>
    </row>
    <row r="392">
      <c r="R392" s="9"/>
    </row>
    <row r="393">
      <c r="R393" s="9"/>
    </row>
    <row r="394">
      <c r="R394" s="9"/>
    </row>
    <row r="395">
      <c r="R395" s="9"/>
    </row>
    <row r="396">
      <c r="R396" s="9"/>
    </row>
    <row r="397">
      <c r="R397" s="9"/>
    </row>
    <row r="398">
      <c r="R398" s="9"/>
    </row>
    <row r="399">
      <c r="R399" s="9"/>
    </row>
    <row r="400">
      <c r="R400" s="9"/>
    </row>
    <row r="401">
      <c r="R401" s="9"/>
    </row>
    <row r="402">
      <c r="R402" s="9"/>
    </row>
    <row r="403">
      <c r="R403" s="9"/>
    </row>
    <row r="404">
      <c r="R404" s="9"/>
    </row>
    <row r="405">
      <c r="R405" s="9"/>
    </row>
    <row r="406">
      <c r="R406" s="9"/>
    </row>
    <row r="407">
      <c r="R407" s="9"/>
    </row>
    <row r="408">
      <c r="R408" s="9"/>
    </row>
    <row r="409">
      <c r="R409" s="9"/>
    </row>
    <row r="410">
      <c r="R410" s="9"/>
    </row>
    <row r="411">
      <c r="R411" s="9"/>
    </row>
    <row r="412">
      <c r="R412" s="9"/>
    </row>
    <row r="413">
      <c r="R413" s="9"/>
    </row>
    <row r="414">
      <c r="R414" s="9"/>
    </row>
    <row r="415">
      <c r="R415" s="9"/>
    </row>
    <row r="416">
      <c r="R416" s="9"/>
    </row>
    <row r="417">
      <c r="R417" s="9"/>
    </row>
    <row r="418">
      <c r="R418" s="9"/>
    </row>
    <row r="419">
      <c r="R419" s="9"/>
    </row>
    <row r="420">
      <c r="R420" s="9"/>
    </row>
    <row r="421">
      <c r="R421" s="9"/>
    </row>
    <row r="422">
      <c r="R422" s="9"/>
    </row>
    <row r="423">
      <c r="R423" s="9"/>
    </row>
    <row r="424">
      <c r="R424" s="9"/>
    </row>
    <row r="425">
      <c r="R425" s="9"/>
    </row>
    <row r="426">
      <c r="R426" s="9"/>
    </row>
    <row r="427">
      <c r="R427" s="9"/>
    </row>
    <row r="428">
      <c r="R428" s="9"/>
    </row>
    <row r="429">
      <c r="R429" s="9"/>
    </row>
    <row r="430">
      <c r="R430" s="9"/>
    </row>
    <row r="431">
      <c r="R431" s="9"/>
    </row>
    <row r="432">
      <c r="R432" s="9"/>
    </row>
    <row r="433">
      <c r="R433" s="9"/>
    </row>
    <row r="434">
      <c r="R434" s="9"/>
    </row>
    <row r="435">
      <c r="R435" s="9"/>
    </row>
    <row r="436">
      <c r="R436" s="9"/>
    </row>
    <row r="437">
      <c r="R437" s="9"/>
    </row>
    <row r="438">
      <c r="R438" s="9"/>
    </row>
    <row r="439">
      <c r="R439" s="9"/>
    </row>
    <row r="440">
      <c r="R440" s="9"/>
    </row>
    <row r="441">
      <c r="R441" s="9"/>
    </row>
    <row r="442">
      <c r="R442" s="9"/>
    </row>
    <row r="443">
      <c r="R443" s="9"/>
    </row>
    <row r="444">
      <c r="R444" s="9"/>
    </row>
    <row r="445">
      <c r="R445" s="9"/>
    </row>
    <row r="446">
      <c r="R446" s="9"/>
    </row>
    <row r="447">
      <c r="R447" s="9"/>
    </row>
    <row r="448">
      <c r="R448" s="9"/>
    </row>
    <row r="449">
      <c r="R449" s="9"/>
    </row>
    <row r="450">
      <c r="R450" s="9"/>
    </row>
    <row r="451">
      <c r="R451" s="9"/>
    </row>
    <row r="452">
      <c r="R452" s="9"/>
    </row>
    <row r="453">
      <c r="R453" s="9"/>
    </row>
    <row r="454">
      <c r="R454" s="9"/>
    </row>
    <row r="455">
      <c r="R455" s="9"/>
    </row>
    <row r="456">
      <c r="R456" s="9"/>
    </row>
    <row r="457">
      <c r="R457" s="9"/>
    </row>
    <row r="458">
      <c r="R458" s="9"/>
    </row>
    <row r="459">
      <c r="R459" s="9"/>
    </row>
    <row r="460">
      <c r="R460" s="9"/>
    </row>
    <row r="461">
      <c r="R461" s="9"/>
    </row>
    <row r="462">
      <c r="R462" s="9"/>
    </row>
    <row r="463">
      <c r="R463" s="9"/>
    </row>
    <row r="464">
      <c r="R464" s="9"/>
    </row>
    <row r="465">
      <c r="R465" s="9"/>
    </row>
    <row r="466">
      <c r="R466" s="9"/>
    </row>
    <row r="467">
      <c r="R467" s="9"/>
    </row>
    <row r="468">
      <c r="R468" s="9"/>
    </row>
    <row r="469">
      <c r="R469" s="9"/>
    </row>
    <row r="470">
      <c r="R470" s="9"/>
    </row>
    <row r="471">
      <c r="R471" s="9"/>
    </row>
    <row r="472">
      <c r="R472" s="9"/>
    </row>
    <row r="473">
      <c r="R473" s="9"/>
    </row>
    <row r="474">
      <c r="R474" s="9"/>
    </row>
    <row r="475">
      <c r="R475" s="9"/>
    </row>
    <row r="476">
      <c r="R476" s="9"/>
    </row>
    <row r="477">
      <c r="R477" s="9"/>
    </row>
    <row r="478">
      <c r="R478" s="9"/>
    </row>
    <row r="479">
      <c r="R479" s="9"/>
    </row>
    <row r="480">
      <c r="R480" s="9"/>
    </row>
    <row r="481">
      <c r="R481" s="9"/>
    </row>
    <row r="482">
      <c r="R482" s="9"/>
    </row>
    <row r="483">
      <c r="R483" s="9"/>
    </row>
    <row r="484">
      <c r="R484" s="9"/>
    </row>
    <row r="485">
      <c r="R485" s="9"/>
    </row>
    <row r="486">
      <c r="R486" s="9"/>
    </row>
    <row r="487">
      <c r="R487" s="9"/>
    </row>
    <row r="488">
      <c r="R488" s="9"/>
    </row>
    <row r="489">
      <c r="R489" s="9"/>
    </row>
    <row r="490">
      <c r="R490" s="9"/>
    </row>
    <row r="491">
      <c r="R491" s="9"/>
    </row>
    <row r="492">
      <c r="R492" s="9"/>
    </row>
    <row r="493">
      <c r="R493" s="9"/>
    </row>
    <row r="494">
      <c r="R494" s="9"/>
    </row>
    <row r="495">
      <c r="R495" s="9"/>
    </row>
    <row r="496">
      <c r="R496" s="9"/>
    </row>
    <row r="497">
      <c r="R497" s="9"/>
    </row>
    <row r="498">
      <c r="R498" s="9"/>
    </row>
    <row r="499">
      <c r="R499" s="9"/>
    </row>
    <row r="500">
      <c r="R500" s="9"/>
    </row>
    <row r="501">
      <c r="R501" s="9"/>
    </row>
    <row r="502">
      <c r="R502" s="9"/>
    </row>
    <row r="503">
      <c r="R503" s="9"/>
    </row>
    <row r="504">
      <c r="R504" s="9"/>
    </row>
    <row r="505">
      <c r="R505" s="9"/>
    </row>
    <row r="506">
      <c r="R506" s="9"/>
    </row>
    <row r="507">
      <c r="R507" s="9"/>
    </row>
    <row r="508">
      <c r="R508" s="9"/>
    </row>
    <row r="509">
      <c r="R509" s="9"/>
    </row>
    <row r="510">
      <c r="R510" s="9"/>
    </row>
    <row r="511">
      <c r="R511" s="9"/>
    </row>
    <row r="512">
      <c r="R512" s="9"/>
    </row>
    <row r="513">
      <c r="R513" s="9"/>
    </row>
    <row r="514">
      <c r="R514" s="9"/>
    </row>
    <row r="515">
      <c r="R515" s="9"/>
    </row>
    <row r="516">
      <c r="R516" s="9"/>
    </row>
    <row r="517">
      <c r="R517" s="9"/>
    </row>
    <row r="518">
      <c r="R518" s="9"/>
    </row>
    <row r="519">
      <c r="R519" s="9"/>
    </row>
    <row r="520">
      <c r="R520" s="9"/>
    </row>
    <row r="521">
      <c r="R521" s="9"/>
    </row>
    <row r="522">
      <c r="R522" s="9"/>
    </row>
    <row r="523">
      <c r="R523" s="9"/>
    </row>
    <row r="524">
      <c r="R524" s="9"/>
    </row>
    <row r="525">
      <c r="R525" s="9"/>
    </row>
    <row r="526">
      <c r="R526" s="9"/>
    </row>
    <row r="527">
      <c r="R527" s="9"/>
    </row>
    <row r="528">
      <c r="R528" s="9"/>
    </row>
    <row r="529">
      <c r="R529" s="9"/>
    </row>
    <row r="530">
      <c r="R530" s="9"/>
    </row>
    <row r="531">
      <c r="R531" s="9"/>
    </row>
    <row r="532">
      <c r="R532" s="9"/>
    </row>
    <row r="533">
      <c r="R533" s="9"/>
    </row>
    <row r="534">
      <c r="R534" s="9"/>
    </row>
    <row r="535">
      <c r="R535" s="9"/>
    </row>
    <row r="536">
      <c r="R536" s="9"/>
    </row>
    <row r="537">
      <c r="R537" s="9"/>
    </row>
    <row r="538">
      <c r="R538" s="9"/>
    </row>
    <row r="539">
      <c r="R539" s="9"/>
    </row>
    <row r="540">
      <c r="R540" s="9"/>
    </row>
    <row r="541">
      <c r="R541" s="9"/>
    </row>
    <row r="542">
      <c r="R542" s="9"/>
    </row>
    <row r="543">
      <c r="R543" s="9"/>
    </row>
    <row r="544">
      <c r="R544" s="9"/>
    </row>
    <row r="545">
      <c r="R545" s="9"/>
    </row>
    <row r="546">
      <c r="R546" s="9"/>
    </row>
    <row r="547">
      <c r="R547" s="9"/>
    </row>
    <row r="548">
      <c r="R548" s="9"/>
    </row>
    <row r="549">
      <c r="R549" s="9"/>
    </row>
    <row r="550">
      <c r="R550" s="9"/>
    </row>
    <row r="551">
      <c r="R551" s="9"/>
    </row>
    <row r="552">
      <c r="R552" s="9"/>
    </row>
    <row r="553">
      <c r="R553" s="9"/>
    </row>
    <row r="554">
      <c r="R554" s="9"/>
    </row>
    <row r="555">
      <c r="R555" s="9"/>
    </row>
    <row r="556">
      <c r="R556" s="9"/>
    </row>
    <row r="557">
      <c r="R557" s="9"/>
    </row>
    <row r="558">
      <c r="R558" s="9"/>
    </row>
    <row r="559">
      <c r="R559" s="9"/>
    </row>
    <row r="560">
      <c r="R560" s="9"/>
    </row>
    <row r="561">
      <c r="R561" s="9"/>
    </row>
    <row r="562">
      <c r="R562" s="9"/>
    </row>
    <row r="563">
      <c r="R563" s="9"/>
    </row>
    <row r="564">
      <c r="R564" s="9"/>
    </row>
    <row r="565">
      <c r="R565" s="9"/>
    </row>
    <row r="566">
      <c r="R566" s="9"/>
    </row>
    <row r="567">
      <c r="R567" s="9"/>
    </row>
    <row r="568">
      <c r="R568" s="9"/>
    </row>
    <row r="569">
      <c r="R569" s="9"/>
    </row>
    <row r="570">
      <c r="R570" s="9"/>
    </row>
    <row r="571">
      <c r="R571" s="9"/>
    </row>
    <row r="572">
      <c r="R572" s="9"/>
    </row>
    <row r="573">
      <c r="R573" s="9"/>
    </row>
    <row r="574">
      <c r="R574" s="9"/>
    </row>
    <row r="575">
      <c r="R575" s="9"/>
    </row>
    <row r="576">
      <c r="R576" s="9"/>
    </row>
    <row r="577">
      <c r="R577" s="9"/>
    </row>
    <row r="578">
      <c r="R578" s="9"/>
    </row>
    <row r="579">
      <c r="R579" s="9"/>
    </row>
    <row r="580">
      <c r="R580" s="9"/>
    </row>
    <row r="581">
      <c r="R581" s="9"/>
    </row>
    <row r="582">
      <c r="R582" s="9"/>
    </row>
    <row r="583">
      <c r="R583" s="9"/>
    </row>
    <row r="584">
      <c r="R584" s="9"/>
    </row>
    <row r="585">
      <c r="R585" s="9"/>
    </row>
    <row r="586">
      <c r="R586" s="9"/>
    </row>
    <row r="587">
      <c r="R587" s="9"/>
    </row>
    <row r="588">
      <c r="R588" s="9"/>
    </row>
    <row r="589">
      <c r="R589" s="9"/>
    </row>
    <row r="590">
      <c r="R590" s="9"/>
    </row>
    <row r="591">
      <c r="R591" s="9"/>
    </row>
    <row r="592">
      <c r="R592" s="9"/>
    </row>
    <row r="593">
      <c r="R593" s="9"/>
    </row>
    <row r="594">
      <c r="R594" s="9"/>
    </row>
    <row r="595">
      <c r="R595" s="9"/>
    </row>
    <row r="596">
      <c r="R596" s="9"/>
    </row>
    <row r="597">
      <c r="R597" s="9"/>
    </row>
    <row r="598">
      <c r="R598" s="9"/>
    </row>
    <row r="599">
      <c r="R599" s="9"/>
    </row>
    <row r="600">
      <c r="R600" s="9"/>
    </row>
    <row r="601">
      <c r="R601" s="9"/>
    </row>
    <row r="602">
      <c r="R602" s="9"/>
    </row>
    <row r="603">
      <c r="R603" s="9"/>
    </row>
    <row r="604">
      <c r="R604" s="9"/>
    </row>
    <row r="605">
      <c r="R605" s="9"/>
    </row>
    <row r="606">
      <c r="R606" s="9"/>
    </row>
    <row r="607">
      <c r="R607" s="9"/>
    </row>
    <row r="608">
      <c r="R608" s="9"/>
    </row>
    <row r="609">
      <c r="R609" s="9"/>
    </row>
    <row r="610">
      <c r="R610" s="9"/>
    </row>
    <row r="611">
      <c r="R611" s="9"/>
    </row>
    <row r="612">
      <c r="R612" s="9"/>
    </row>
    <row r="613">
      <c r="R613" s="9"/>
    </row>
    <row r="614">
      <c r="R614" s="9"/>
    </row>
    <row r="615">
      <c r="R615" s="9"/>
    </row>
    <row r="616">
      <c r="R616" s="9"/>
    </row>
    <row r="617">
      <c r="R617" s="9"/>
    </row>
    <row r="618">
      <c r="R618" s="9"/>
    </row>
    <row r="619">
      <c r="R619" s="9"/>
    </row>
    <row r="620">
      <c r="R620" s="9"/>
    </row>
    <row r="621">
      <c r="R621" s="9"/>
    </row>
    <row r="622">
      <c r="R622" s="9"/>
    </row>
    <row r="623">
      <c r="R623" s="9"/>
    </row>
    <row r="624">
      <c r="R624" s="9"/>
    </row>
    <row r="625">
      <c r="R625" s="9"/>
    </row>
    <row r="626">
      <c r="R626" s="9"/>
    </row>
    <row r="627">
      <c r="R627" s="9"/>
    </row>
    <row r="628">
      <c r="R628" s="9"/>
    </row>
    <row r="629">
      <c r="R629" s="9"/>
    </row>
    <row r="630">
      <c r="R630" s="9"/>
    </row>
    <row r="631">
      <c r="R631" s="9"/>
    </row>
    <row r="632">
      <c r="R632" s="9"/>
    </row>
    <row r="633">
      <c r="R633" s="9"/>
    </row>
    <row r="634">
      <c r="R634" s="9"/>
    </row>
    <row r="635">
      <c r="R635" s="9"/>
    </row>
    <row r="636">
      <c r="R636" s="9"/>
    </row>
    <row r="637">
      <c r="R637" s="9"/>
    </row>
    <row r="638">
      <c r="R638" s="9"/>
    </row>
    <row r="639">
      <c r="R639" s="9"/>
    </row>
    <row r="640">
      <c r="R640" s="9"/>
    </row>
    <row r="641">
      <c r="R641" s="9"/>
    </row>
    <row r="642">
      <c r="R642" s="9"/>
    </row>
    <row r="643">
      <c r="R643" s="9"/>
    </row>
    <row r="644">
      <c r="R644" s="9"/>
    </row>
    <row r="645">
      <c r="R645" s="9"/>
    </row>
    <row r="646">
      <c r="R646" s="9"/>
    </row>
    <row r="647">
      <c r="R647" s="9"/>
    </row>
    <row r="648">
      <c r="R648" s="9"/>
    </row>
    <row r="649">
      <c r="R649" s="9"/>
    </row>
    <row r="650">
      <c r="R650" s="9"/>
    </row>
    <row r="651">
      <c r="R651" s="9"/>
    </row>
    <row r="652">
      <c r="R652" s="9"/>
    </row>
    <row r="653">
      <c r="R653" s="9"/>
    </row>
    <row r="654">
      <c r="R654" s="9"/>
    </row>
    <row r="655">
      <c r="R655" s="9"/>
    </row>
    <row r="656">
      <c r="R656" s="9"/>
    </row>
    <row r="657">
      <c r="R657" s="9"/>
    </row>
    <row r="658">
      <c r="R658" s="9"/>
    </row>
    <row r="659">
      <c r="R659" s="9"/>
    </row>
    <row r="660">
      <c r="R660" s="9"/>
    </row>
    <row r="661">
      <c r="R661" s="9"/>
    </row>
    <row r="662">
      <c r="R662" s="9"/>
    </row>
    <row r="663">
      <c r="R663" s="9"/>
    </row>
    <row r="664">
      <c r="R664" s="9"/>
    </row>
    <row r="665">
      <c r="R665" s="9"/>
    </row>
    <row r="666">
      <c r="R666" s="9"/>
    </row>
    <row r="667">
      <c r="R667" s="9"/>
    </row>
    <row r="668">
      <c r="R668" s="9"/>
    </row>
    <row r="669">
      <c r="R669" s="9"/>
    </row>
    <row r="670">
      <c r="R670" s="9"/>
    </row>
    <row r="671">
      <c r="R671" s="9"/>
    </row>
    <row r="672">
      <c r="R672" s="9"/>
    </row>
    <row r="673">
      <c r="R673" s="9"/>
    </row>
    <row r="674">
      <c r="R674" s="9"/>
    </row>
    <row r="675">
      <c r="R675" s="9"/>
    </row>
    <row r="676">
      <c r="R676" s="9"/>
    </row>
    <row r="677">
      <c r="R677" s="9"/>
    </row>
    <row r="678">
      <c r="R678" s="9"/>
    </row>
    <row r="679">
      <c r="R679" s="9"/>
    </row>
    <row r="680">
      <c r="R680" s="9"/>
    </row>
    <row r="681">
      <c r="R681" s="9"/>
    </row>
    <row r="682">
      <c r="R682" s="9"/>
    </row>
    <row r="683">
      <c r="R683" s="9"/>
    </row>
    <row r="684">
      <c r="R684" s="9"/>
    </row>
    <row r="685">
      <c r="R685" s="9"/>
    </row>
    <row r="686">
      <c r="R686" s="9"/>
    </row>
    <row r="687">
      <c r="R687" s="9"/>
    </row>
    <row r="688">
      <c r="R688" s="9"/>
    </row>
    <row r="689">
      <c r="R689" s="9"/>
    </row>
    <row r="690">
      <c r="R690" s="9"/>
    </row>
    <row r="691">
      <c r="R691" s="9"/>
    </row>
    <row r="692">
      <c r="R692" s="9"/>
    </row>
    <row r="693">
      <c r="R693" s="9"/>
    </row>
    <row r="694">
      <c r="R694" s="9"/>
    </row>
    <row r="695">
      <c r="R695" s="9"/>
    </row>
    <row r="696">
      <c r="R696" s="9"/>
    </row>
    <row r="697">
      <c r="R697" s="9"/>
    </row>
    <row r="698">
      <c r="R698" s="9"/>
    </row>
    <row r="699">
      <c r="R699" s="9"/>
    </row>
    <row r="700">
      <c r="R700" s="9"/>
    </row>
    <row r="701">
      <c r="R701" s="9"/>
    </row>
    <row r="702">
      <c r="R702" s="9"/>
    </row>
    <row r="703">
      <c r="R703" s="9"/>
    </row>
    <row r="704">
      <c r="R704" s="9"/>
    </row>
    <row r="705">
      <c r="R705" s="9"/>
    </row>
    <row r="706">
      <c r="R706" s="9"/>
    </row>
    <row r="707">
      <c r="R707" s="9"/>
    </row>
    <row r="708">
      <c r="R708" s="9"/>
    </row>
    <row r="709">
      <c r="R709" s="9"/>
    </row>
    <row r="710">
      <c r="R710" s="9"/>
    </row>
    <row r="711">
      <c r="R711" s="9"/>
    </row>
    <row r="712">
      <c r="R712" s="9"/>
    </row>
    <row r="713">
      <c r="R713" s="9"/>
    </row>
    <row r="714">
      <c r="R714" s="9"/>
    </row>
    <row r="715">
      <c r="R715" s="9"/>
    </row>
    <row r="716">
      <c r="R716" s="9"/>
    </row>
    <row r="717">
      <c r="R717" s="9"/>
    </row>
    <row r="718">
      <c r="R718" s="9"/>
    </row>
    <row r="719">
      <c r="R719" s="9"/>
    </row>
    <row r="720">
      <c r="R720" s="9"/>
    </row>
    <row r="721">
      <c r="R721" s="9"/>
    </row>
    <row r="722">
      <c r="R722" s="9"/>
    </row>
    <row r="723">
      <c r="R723" s="9"/>
    </row>
    <row r="724">
      <c r="R724" s="9"/>
    </row>
    <row r="725">
      <c r="R725" s="9"/>
    </row>
    <row r="726">
      <c r="R726" s="9"/>
    </row>
    <row r="727">
      <c r="R727" s="9"/>
    </row>
    <row r="728">
      <c r="R728" s="9"/>
    </row>
    <row r="729">
      <c r="R729" s="9"/>
    </row>
    <row r="730">
      <c r="R730" s="9"/>
    </row>
    <row r="731">
      <c r="R731" s="9"/>
    </row>
    <row r="732">
      <c r="R732" s="9"/>
    </row>
    <row r="733">
      <c r="R733" s="9"/>
    </row>
    <row r="734">
      <c r="R734" s="9"/>
    </row>
    <row r="735">
      <c r="R735" s="9"/>
    </row>
    <row r="736">
      <c r="R736" s="9"/>
    </row>
    <row r="737">
      <c r="R737" s="9"/>
    </row>
    <row r="738">
      <c r="R738" s="9"/>
    </row>
    <row r="739">
      <c r="R739" s="9"/>
    </row>
    <row r="740">
      <c r="R740" s="9"/>
    </row>
    <row r="741">
      <c r="R741" s="9"/>
    </row>
    <row r="742">
      <c r="R742" s="9"/>
    </row>
    <row r="743">
      <c r="R743" s="9"/>
    </row>
    <row r="744">
      <c r="R744" s="9"/>
    </row>
    <row r="745">
      <c r="R745" s="9"/>
    </row>
    <row r="746">
      <c r="R746" s="9"/>
    </row>
    <row r="747">
      <c r="R747" s="9"/>
    </row>
    <row r="748">
      <c r="R748" s="9"/>
    </row>
    <row r="749">
      <c r="R749" s="9"/>
    </row>
    <row r="750">
      <c r="R750" s="9"/>
    </row>
    <row r="751">
      <c r="R751" s="9"/>
    </row>
    <row r="752">
      <c r="R752" s="9"/>
    </row>
    <row r="753">
      <c r="R753" s="9"/>
    </row>
    <row r="754">
      <c r="R754" s="9"/>
    </row>
    <row r="755">
      <c r="R755" s="9"/>
    </row>
    <row r="756">
      <c r="R756" s="9"/>
    </row>
    <row r="757">
      <c r="R757" s="9"/>
    </row>
    <row r="758">
      <c r="R758" s="9"/>
    </row>
    <row r="759">
      <c r="R759" s="9"/>
    </row>
    <row r="760">
      <c r="R760" s="9"/>
    </row>
    <row r="761">
      <c r="R761" s="9"/>
    </row>
    <row r="762">
      <c r="R762" s="9"/>
    </row>
    <row r="763">
      <c r="R763" s="9"/>
    </row>
    <row r="764">
      <c r="R764" s="9"/>
    </row>
    <row r="765">
      <c r="R765" s="9"/>
    </row>
    <row r="766">
      <c r="R766" s="9"/>
    </row>
    <row r="767">
      <c r="R767" s="9"/>
    </row>
    <row r="768">
      <c r="R768" s="9"/>
    </row>
    <row r="769">
      <c r="R769" s="9"/>
    </row>
    <row r="770">
      <c r="R770" s="9"/>
    </row>
    <row r="771">
      <c r="R771" s="9"/>
    </row>
    <row r="772">
      <c r="R772" s="9"/>
    </row>
    <row r="773">
      <c r="R773" s="9"/>
    </row>
    <row r="774">
      <c r="R774" s="9"/>
    </row>
    <row r="775">
      <c r="R775" s="9"/>
    </row>
    <row r="776">
      <c r="R776" s="9"/>
    </row>
    <row r="777">
      <c r="R777" s="9"/>
    </row>
    <row r="778">
      <c r="R778" s="9"/>
    </row>
    <row r="779">
      <c r="R779" s="9"/>
    </row>
    <row r="780">
      <c r="R780" s="9"/>
    </row>
    <row r="781">
      <c r="R781" s="9"/>
    </row>
    <row r="782">
      <c r="R782" s="9"/>
    </row>
    <row r="783">
      <c r="R783" s="9"/>
    </row>
    <row r="784">
      <c r="R784" s="9"/>
    </row>
    <row r="785">
      <c r="R785" s="9"/>
    </row>
    <row r="786">
      <c r="R786" s="9"/>
    </row>
    <row r="787">
      <c r="R787" s="9"/>
    </row>
    <row r="788">
      <c r="R788" s="9"/>
    </row>
    <row r="789">
      <c r="R789" s="9"/>
    </row>
    <row r="790">
      <c r="R790" s="9"/>
    </row>
    <row r="791">
      <c r="R791" s="9"/>
    </row>
    <row r="792">
      <c r="R792" s="9"/>
    </row>
    <row r="793">
      <c r="R793" s="9"/>
    </row>
    <row r="794">
      <c r="R794" s="9"/>
    </row>
    <row r="795">
      <c r="R795" s="9"/>
    </row>
    <row r="796">
      <c r="R796" s="9"/>
    </row>
    <row r="797">
      <c r="R797" s="9"/>
    </row>
    <row r="798">
      <c r="R798" s="9"/>
    </row>
    <row r="799">
      <c r="R799" s="9"/>
    </row>
    <row r="800">
      <c r="R800" s="9"/>
    </row>
    <row r="801">
      <c r="R801" s="9"/>
    </row>
    <row r="802">
      <c r="R802" s="9"/>
    </row>
    <row r="803">
      <c r="R803" s="9"/>
    </row>
    <row r="804">
      <c r="R804" s="9"/>
    </row>
    <row r="805">
      <c r="R805" s="9"/>
    </row>
    <row r="806">
      <c r="R806" s="9"/>
    </row>
    <row r="807">
      <c r="R807" s="9"/>
    </row>
    <row r="808">
      <c r="R808" s="9"/>
    </row>
    <row r="809">
      <c r="R809" s="9"/>
    </row>
    <row r="810">
      <c r="R810" s="9"/>
    </row>
    <row r="811">
      <c r="R811" s="9"/>
    </row>
    <row r="812">
      <c r="R812" s="9"/>
    </row>
    <row r="813">
      <c r="R813" s="9"/>
    </row>
    <row r="814">
      <c r="R814" s="9"/>
    </row>
    <row r="815">
      <c r="R815" s="9"/>
    </row>
    <row r="816">
      <c r="R816" s="9"/>
    </row>
    <row r="817">
      <c r="R817" s="9"/>
    </row>
    <row r="818">
      <c r="R818" s="9"/>
    </row>
    <row r="819">
      <c r="R819" s="9"/>
    </row>
    <row r="820">
      <c r="R820" s="9"/>
    </row>
    <row r="821">
      <c r="R821" s="9"/>
    </row>
    <row r="822">
      <c r="R822" s="9"/>
    </row>
    <row r="823">
      <c r="R823" s="9"/>
    </row>
    <row r="824">
      <c r="R824" s="9"/>
    </row>
    <row r="825">
      <c r="R825" s="9"/>
    </row>
    <row r="826">
      <c r="R826" s="9"/>
    </row>
    <row r="827">
      <c r="R827" s="9"/>
    </row>
    <row r="828">
      <c r="R828" s="9"/>
    </row>
    <row r="829">
      <c r="R829" s="9"/>
    </row>
    <row r="830">
      <c r="R830" s="9"/>
    </row>
    <row r="831">
      <c r="R831" s="9"/>
    </row>
    <row r="832">
      <c r="R832" s="9"/>
    </row>
    <row r="833">
      <c r="R833" s="9"/>
    </row>
    <row r="834">
      <c r="R834" s="9"/>
    </row>
    <row r="835">
      <c r="R835" s="9"/>
    </row>
    <row r="836">
      <c r="R836" s="9"/>
    </row>
    <row r="837">
      <c r="R837" s="9"/>
    </row>
    <row r="838">
      <c r="R838" s="9"/>
    </row>
    <row r="839">
      <c r="R839" s="9"/>
    </row>
    <row r="840">
      <c r="R840" s="9"/>
    </row>
    <row r="841">
      <c r="R841" s="9"/>
    </row>
    <row r="842">
      <c r="R842" s="9"/>
    </row>
    <row r="843">
      <c r="R843" s="9"/>
    </row>
    <row r="844">
      <c r="R844" s="9"/>
    </row>
    <row r="845">
      <c r="R845" s="9"/>
    </row>
    <row r="846">
      <c r="R846" s="9"/>
    </row>
    <row r="847">
      <c r="R847" s="9"/>
    </row>
    <row r="848">
      <c r="R848" s="9"/>
    </row>
    <row r="849">
      <c r="R849" s="9"/>
    </row>
    <row r="850">
      <c r="R850" s="9"/>
    </row>
    <row r="851">
      <c r="R851" s="9"/>
    </row>
    <row r="852">
      <c r="R852" s="9"/>
    </row>
    <row r="853">
      <c r="R853" s="9"/>
    </row>
    <row r="854">
      <c r="R854" s="9"/>
    </row>
    <row r="855">
      <c r="R855" s="9"/>
    </row>
    <row r="856">
      <c r="R856" s="9"/>
    </row>
    <row r="857">
      <c r="R857" s="9"/>
    </row>
    <row r="858">
      <c r="R858" s="9"/>
    </row>
    <row r="859">
      <c r="R859" s="9"/>
    </row>
    <row r="860">
      <c r="R860" s="9"/>
    </row>
    <row r="861">
      <c r="R861" s="9"/>
    </row>
    <row r="862">
      <c r="R862" s="9"/>
    </row>
    <row r="863">
      <c r="R863" s="9"/>
    </row>
    <row r="864">
      <c r="R864" s="9"/>
    </row>
    <row r="865">
      <c r="R865" s="9"/>
    </row>
    <row r="866">
      <c r="R866" s="9"/>
    </row>
    <row r="867">
      <c r="R867" s="9"/>
    </row>
    <row r="868">
      <c r="R868" s="9"/>
    </row>
    <row r="869">
      <c r="R869" s="9"/>
    </row>
    <row r="870">
      <c r="R870" s="9"/>
    </row>
    <row r="871">
      <c r="R871" s="9"/>
    </row>
    <row r="872">
      <c r="R872" s="9"/>
    </row>
    <row r="873">
      <c r="R873" s="9"/>
    </row>
    <row r="874">
      <c r="R874" s="9"/>
    </row>
    <row r="875">
      <c r="R875" s="9"/>
    </row>
    <row r="876">
      <c r="R876" s="9"/>
    </row>
    <row r="877">
      <c r="R877" s="9"/>
    </row>
    <row r="878">
      <c r="R878" s="9"/>
    </row>
    <row r="879">
      <c r="R879" s="9"/>
    </row>
    <row r="880">
      <c r="R880" s="9"/>
    </row>
    <row r="881">
      <c r="R881" s="9"/>
    </row>
    <row r="882">
      <c r="R882" s="9"/>
    </row>
    <row r="883">
      <c r="R883" s="9"/>
    </row>
    <row r="884">
      <c r="R884" s="9"/>
    </row>
    <row r="885">
      <c r="R885" s="9"/>
    </row>
    <row r="886">
      <c r="R886" s="9"/>
    </row>
    <row r="887">
      <c r="R887" s="9"/>
    </row>
    <row r="888">
      <c r="R888" s="9"/>
    </row>
    <row r="889">
      <c r="R889" s="9"/>
    </row>
    <row r="890">
      <c r="R890" s="9"/>
    </row>
    <row r="891">
      <c r="R891" s="9"/>
    </row>
    <row r="892">
      <c r="R892" s="9"/>
    </row>
    <row r="893">
      <c r="R893" s="9"/>
    </row>
    <row r="894">
      <c r="R894" s="9"/>
    </row>
    <row r="895">
      <c r="R895" s="9"/>
    </row>
    <row r="896">
      <c r="R896" s="9"/>
    </row>
    <row r="897">
      <c r="R897" s="9"/>
    </row>
    <row r="898">
      <c r="R898" s="9"/>
    </row>
    <row r="899">
      <c r="R899" s="9"/>
    </row>
    <row r="900">
      <c r="R900" s="9"/>
    </row>
    <row r="901">
      <c r="R901" s="9"/>
    </row>
    <row r="902">
      <c r="R902" s="9"/>
    </row>
    <row r="903">
      <c r="R903" s="9"/>
    </row>
    <row r="904">
      <c r="R904" s="9"/>
    </row>
    <row r="905">
      <c r="R905" s="9"/>
    </row>
    <row r="906">
      <c r="R906" s="9"/>
    </row>
    <row r="907">
      <c r="R907" s="9"/>
    </row>
    <row r="908">
      <c r="R908" s="9"/>
    </row>
    <row r="909">
      <c r="R909" s="9"/>
    </row>
    <row r="910">
      <c r="R910" s="9"/>
    </row>
    <row r="911">
      <c r="R911" s="9"/>
    </row>
    <row r="912">
      <c r="R912" s="9"/>
    </row>
    <row r="913">
      <c r="R913" s="9"/>
    </row>
    <row r="914">
      <c r="R914" s="9"/>
    </row>
    <row r="915">
      <c r="R915" s="9"/>
    </row>
    <row r="916">
      <c r="R916" s="9"/>
    </row>
    <row r="917">
      <c r="R917" s="9"/>
    </row>
    <row r="918">
      <c r="R918" s="9"/>
    </row>
    <row r="919">
      <c r="R919" s="9"/>
    </row>
    <row r="920">
      <c r="R920" s="9"/>
    </row>
    <row r="921">
      <c r="R921" s="9"/>
    </row>
    <row r="922">
      <c r="R922" s="9"/>
    </row>
    <row r="923">
      <c r="R923" s="9"/>
    </row>
    <row r="924">
      <c r="R924" s="9"/>
    </row>
    <row r="925">
      <c r="R925" s="9"/>
    </row>
    <row r="926">
      <c r="R926" s="9"/>
    </row>
    <row r="927">
      <c r="R927" s="9"/>
    </row>
    <row r="928">
      <c r="R928" s="9"/>
    </row>
    <row r="929">
      <c r="R929" s="9"/>
    </row>
    <row r="930">
      <c r="R930" s="9"/>
    </row>
    <row r="931">
      <c r="R931" s="9"/>
    </row>
    <row r="932">
      <c r="R932" s="9"/>
    </row>
    <row r="933">
      <c r="R933" s="9"/>
    </row>
    <row r="934">
      <c r="R934" s="9"/>
    </row>
    <row r="935">
      <c r="R935" s="9"/>
    </row>
    <row r="936">
      <c r="R936" s="9"/>
    </row>
    <row r="937">
      <c r="R937" s="9"/>
    </row>
    <row r="938">
      <c r="R938" s="9"/>
    </row>
    <row r="939">
      <c r="R939" s="9"/>
    </row>
    <row r="940">
      <c r="R940" s="9"/>
    </row>
    <row r="941">
      <c r="R941" s="9"/>
    </row>
    <row r="942">
      <c r="R942" s="9"/>
    </row>
    <row r="943">
      <c r="R943" s="9"/>
    </row>
    <row r="944">
      <c r="R944" s="9"/>
    </row>
    <row r="945">
      <c r="R945" s="9"/>
    </row>
    <row r="946">
      <c r="R946" s="9"/>
    </row>
    <row r="947">
      <c r="R947" s="9"/>
    </row>
    <row r="948">
      <c r="R948" s="9"/>
    </row>
    <row r="949">
      <c r="R949" s="9"/>
    </row>
    <row r="950">
      <c r="R950" s="9"/>
    </row>
    <row r="951">
      <c r="R951" s="9"/>
    </row>
    <row r="952">
      <c r="R952" s="9"/>
    </row>
    <row r="953">
      <c r="R953" s="9"/>
    </row>
    <row r="954">
      <c r="R954" s="9"/>
    </row>
    <row r="955">
      <c r="R955" s="9"/>
    </row>
    <row r="956">
      <c r="R956" s="9"/>
    </row>
    <row r="957">
      <c r="R957" s="9"/>
    </row>
    <row r="958">
      <c r="R958" s="9"/>
    </row>
    <row r="959">
      <c r="R959" s="9"/>
    </row>
    <row r="960">
      <c r="R960" s="9"/>
    </row>
    <row r="961">
      <c r="R961" s="9"/>
    </row>
    <row r="962">
      <c r="R962" s="9"/>
    </row>
    <row r="963">
      <c r="R963" s="9"/>
    </row>
    <row r="964">
      <c r="R964" s="9"/>
    </row>
    <row r="965">
      <c r="R965" s="9"/>
    </row>
    <row r="966">
      <c r="R966" s="9"/>
    </row>
    <row r="967">
      <c r="R967" s="9"/>
    </row>
    <row r="968">
      <c r="R968" s="9"/>
    </row>
    <row r="969">
      <c r="R969" s="9"/>
    </row>
    <row r="970">
      <c r="R970" s="9"/>
    </row>
    <row r="971">
      <c r="R971" s="9"/>
    </row>
    <row r="972">
      <c r="R972" s="9"/>
    </row>
    <row r="973">
      <c r="R973" s="9"/>
    </row>
    <row r="974">
      <c r="R974" s="9"/>
    </row>
    <row r="975">
      <c r="R975" s="9"/>
    </row>
    <row r="976">
      <c r="R976" s="9"/>
    </row>
    <row r="977">
      <c r="R977" s="9"/>
    </row>
    <row r="978">
      <c r="R978" s="9"/>
    </row>
    <row r="979">
      <c r="R979" s="9"/>
    </row>
    <row r="980">
      <c r="R980" s="9"/>
    </row>
    <row r="981">
      <c r="R981" s="9"/>
    </row>
    <row r="982">
      <c r="R982" s="9"/>
    </row>
    <row r="983">
      <c r="R983" s="9"/>
    </row>
    <row r="984">
      <c r="R984" s="9"/>
    </row>
    <row r="985">
      <c r="R985" s="9"/>
    </row>
    <row r="986">
      <c r="R986" s="9"/>
    </row>
    <row r="987">
      <c r="R987" s="9"/>
    </row>
  </sheetData>
  <autoFilter ref="$A$1:$AF$56">
    <sortState ref="A1:AF56">
      <sortCondition ref="A1:A56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</row>
    <row r="2">
      <c r="A2" s="1">
        <v>1.0</v>
      </c>
      <c r="B2" s="1" t="s">
        <v>15</v>
      </c>
      <c r="C2" s="1" t="s">
        <v>26</v>
      </c>
      <c r="D2" s="1" t="s">
        <v>125</v>
      </c>
      <c r="E2" s="1">
        <v>1.0</v>
      </c>
    </row>
    <row r="3">
      <c r="A3" s="1">
        <v>2.0</v>
      </c>
      <c r="B3" s="1" t="s">
        <v>14</v>
      </c>
      <c r="C3" s="1" t="s">
        <v>126</v>
      </c>
      <c r="D3" s="1" t="s">
        <v>14</v>
      </c>
      <c r="E3" s="1">
        <v>1.0</v>
      </c>
    </row>
    <row r="4">
      <c r="A4" s="1">
        <v>3.0</v>
      </c>
      <c r="B4" s="1" t="s">
        <v>19</v>
      </c>
      <c r="C4" s="1" t="s">
        <v>127</v>
      </c>
      <c r="D4" s="1" t="s">
        <v>125</v>
      </c>
      <c r="E4" s="1">
        <v>1.0</v>
      </c>
    </row>
    <row r="5">
      <c r="A5" s="1">
        <v>4.0</v>
      </c>
      <c r="B5" s="1" t="s">
        <v>22</v>
      </c>
      <c r="C5" s="1" t="s">
        <v>128</v>
      </c>
      <c r="D5" s="1" t="s">
        <v>22</v>
      </c>
      <c r="E5" s="1">
        <v>1.0</v>
      </c>
    </row>
    <row r="6">
      <c r="A6" s="1">
        <v>5.0</v>
      </c>
      <c r="B6" s="1" t="s">
        <v>26</v>
      </c>
      <c r="C6" s="1" t="s">
        <v>129</v>
      </c>
      <c r="D6" s="1" t="s">
        <v>26</v>
      </c>
      <c r="E6" s="1">
        <v>1.0</v>
      </c>
    </row>
    <row r="7">
      <c r="A7" s="1">
        <v>6.0</v>
      </c>
      <c r="B7" s="1" t="s">
        <v>48</v>
      </c>
      <c r="C7" s="1" t="s">
        <v>130</v>
      </c>
      <c r="D7" s="1" t="s">
        <v>131</v>
      </c>
      <c r="E7" s="1">
        <v>1.0</v>
      </c>
    </row>
    <row r="8">
      <c r="A8" s="1">
        <v>7.0</v>
      </c>
      <c r="B8" s="1" t="s">
        <v>16</v>
      </c>
      <c r="C8" s="1" t="s">
        <v>132</v>
      </c>
      <c r="D8" s="1" t="s">
        <v>16</v>
      </c>
      <c r="E8" s="1">
        <v>1.0</v>
      </c>
    </row>
    <row r="9">
      <c r="A9" s="1">
        <v>8.0</v>
      </c>
      <c r="B9" s="1" t="s">
        <v>23</v>
      </c>
      <c r="C9" s="1" t="s">
        <v>129</v>
      </c>
      <c r="D9" s="1" t="s">
        <v>23</v>
      </c>
      <c r="E9" s="1">
        <v>0.0</v>
      </c>
    </row>
    <row r="10">
      <c r="A10" s="1">
        <v>9.0</v>
      </c>
      <c r="B10" s="1" t="s">
        <v>54</v>
      </c>
      <c r="C10" s="1" t="s">
        <v>133</v>
      </c>
      <c r="D10" s="1" t="s">
        <v>134</v>
      </c>
      <c r="E10" s="1">
        <v>1.0</v>
      </c>
    </row>
    <row r="11">
      <c r="A11" s="1">
        <v>10.0</v>
      </c>
      <c r="B11" s="1" t="s">
        <v>20</v>
      </c>
      <c r="C11" s="1" t="s">
        <v>135</v>
      </c>
      <c r="D11" s="1" t="s">
        <v>20</v>
      </c>
      <c r="E11" s="1">
        <v>0.0</v>
      </c>
    </row>
    <row r="12">
      <c r="A12" s="1">
        <v>11.0</v>
      </c>
      <c r="B12" s="1" t="s">
        <v>27</v>
      </c>
      <c r="C12" s="1" t="s">
        <v>136</v>
      </c>
      <c r="D12" s="1" t="s">
        <v>27</v>
      </c>
      <c r="E12" s="1">
        <v>1.0</v>
      </c>
    </row>
    <row r="13">
      <c r="A13" s="1">
        <v>12.0</v>
      </c>
      <c r="B13" s="1" t="s">
        <v>70</v>
      </c>
      <c r="C13" s="1" t="s">
        <v>137</v>
      </c>
      <c r="D13" s="1" t="s">
        <v>70</v>
      </c>
      <c r="E13" s="1">
        <v>0.0</v>
      </c>
    </row>
    <row r="14">
      <c r="A14" s="1">
        <v>13.0</v>
      </c>
      <c r="B14" s="1" t="s">
        <v>43</v>
      </c>
      <c r="C14" s="1" t="s">
        <v>26</v>
      </c>
      <c r="D14" s="1" t="s">
        <v>43</v>
      </c>
      <c r="E14" s="1">
        <v>0.0</v>
      </c>
    </row>
    <row r="15">
      <c r="A15" s="1">
        <v>14.0</v>
      </c>
      <c r="B15" s="1" t="s">
        <v>113</v>
      </c>
      <c r="C15" s="1" t="s">
        <v>26</v>
      </c>
      <c r="D15" s="1" t="s">
        <v>131</v>
      </c>
      <c r="E15" s="1">
        <v>0.0</v>
      </c>
    </row>
    <row r="16">
      <c r="A16" s="1">
        <v>15.0</v>
      </c>
      <c r="B16" s="1" t="s">
        <v>63</v>
      </c>
      <c r="C16" s="1" t="s">
        <v>138</v>
      </c>
      <c r="D16" s="1" t="s">
        <v>63</v>
      </c>
      <c r="E16" s="1">
        <v>0.0</v>
      </c>
    </row>
    <row r="17">
      <c r="A17" s="1">
        <v>16.0</v>
      </c>
      <c r="B17" s="1" t="s">
        <v>139</v>
      </c>
      <c r="C17" s="1" t="s">
        <v>140</v>
      </c>
      <c r="D17" s="1" t="s">
        <v>139</v>
      </c>
      <c r="E17" s="1">
        <v>1.0</v>
      </c>
    </row>
    <row r="18">
      <c r="A18" s="1">
        <v>17.0</v>
      </c>
      <c r="B18" s="1" t="s">
        <v>141</v>
      </c>
      <c r="C18" s="1" t="s">
        <v>142</v>
      </c>
      <c r="D18" s="1" t="s">
        <v>134</v>
      </c>
      <c r="E18" s="1">
        <v>1.0</v>
      </c>
    </row>
    <row r="19">
      <c r="A19" s="1">
        <v>18.0</v>
      </c>
      <c r="B19" s="1" t="s">
        <v>143</v>
      </c>
      <c r="C19" s="1" t="s">
        <v>144</v>
      </c>
      <c r="D19" s="1" t="s">
        <v>143</v>
      </c>
      <c r="E19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28</v>
      </c>
      <c r="B1" s="16" t="s">
        <v>1</v>
      </c>
      <c r="C1" s="16" t="s">
        <v>145</v>
      </c>
      <c r="D1" s="16" t="s">
        <v>146</v>
      </c>
      <c r="E1" s="16" t="s">
        <v>147</v>
      </c>
      <c r="F1" s="16" t="s">
        <v>148</v>
      </c>
      <c r="G1" s="16" t="s">
        <v>149</v>
      </c>
      <c r="H1" s="1" t="s">
        <v>150</v>
      </c>
      <c r="I1" s="1" t="s">
        <v>151</v>
      </c>
      <c r="J1" s="1" t="s">
        <v>152</v>
      </c>
      <c r="K1" s="1" t="s">
        <v>153</v>
      </c>
    </row>
    <row r="2">
      <c r="A2" s="1">
        <v>18.0</v>
      </c>
      <c r="B2" s="1">
        <v>4.0</v>
      </c>
      <c r="C2" s="5">
        <f>vlookup($A2,Matchdays!$A:$G,3,false)</f>
        <v>45794</v>
      </c>
      <c r="D2" s="1" t="str">
        <f>vlookup($B2,Holidays!$A:$I,2)</f>
        <v>Turkey</v>
      </c>
      <c r="E2" s="1" t="str">
        <f>vlookup($B2,Holidays!$A:$I,3)</f>
        <v>Belek</v>
      </c>
      <c r="F2" s="1" t="str">
        <f>vlookup($A2,Matchdays!$A:$G,4,false)</f>
        <v>Montgomerie</v>
      </c>
      <c r="G2" s="1" t="s">
        <v>14</v>
      </c>
      <c r="H2" s="1">
        <v>1.0</v>
      </c>
      <c r="I2" s="1">
        <v>39.0</v>
      </c>
      <c r="J2" s="1">
        <v>0.0</v>
      </c>
    </row>
    <row r="3">
      <c r="A3" s="1">
        <v>18.0</v>
      </c>
      <c r="B3" s="1">
        <v>4.0</v>
      </c>
      <c r="C3" s="5">
        <f>vlookup($A3,Matchdays!$A:$G,3,false)</f>
        <v>45794</v>
      </c>
      <c r="D3" s="1" t="str">
        <f>vlookup($B3,Holidays!$A:$I,2)</f>
        <v>Turkey</v>
      </c>
      <c r="E3" s="1" t="str">
        <f>vlookup($B3,Holidays!$A:$I,3)</f>
        <v>Belek</v>
      </c>
      <c r="F3" s="1" t="str">
        <f>vlookup($A3,Matchdays!$A:$G,4,false)</f>
        <v>Montgomerie</v>
      </c>
      <c r="G3" s="1" t="s">
        <v>54</v>
      </c>
      <c r="H3" s="1">
        <v>2.0</v>
      </c>
      <c r="I3" s="1">
        <v>34.0</v>
      </c>
      <c r="J3" s="1">
        <v>0.0</v>
      </c>
      <c r="K3" s="1">
        <v>1.0</v>
      </c>
    </row>
    <row r="4">
      <c r="A4" s="1">
        <v>18.0</v>
      </c>
      <c r="B4" s="1">
        <v>4.0</v>
      </c>
      <c r="C4" s="5">
        <f>vlookup($A4,Matchdays!$A:$G,3,false)</f>
        <v>45794</v>
      </c>
      <c r="D4" s="1" t="str">
        <f>vlookup($B4,Holidays!$A:$I,2)</f>
        <v>Turkey</v>
      </c>
      <c r="E4" s="1" t="str">
        <f>vlookup($B4,Holidays!$A:$I,3)</f>
        <v>Belek</v>
      </c>
      <c r="F4" s="1" t="str">
        <f>vlookup($A4,Matchdays!$A:$G,4,false)</f>
        <v>Montgomerie</v>
      </c>
      <c r="G4" s="1" t="s">
        <v>15</v>
      </c>
      <c r="H4" s="1">
        <v>3.0</v>
      </c>
      <c r="I4" s="1">
        <v>34.0</v>
      </c>
      <c r="J4" s="1">
        <v>0.0</v>
      </c>
    </row>
    <row r="5">
      <c r="A5" s="1">
        <v>18.0</v>
      </c>
      <c r="B5" s="1">
        <v>4.0</v>
      </c>
      <c r="C5" s="5">
        <f>vlookup($A5,Matchdays!$A:$G,3,false)</f>
        <v>45794</v>
      </c>
      <c r="D5" s="1" t="str">
        <f>vlookup($B5,Holidays!$A:$I,2)</f>
        <v>Turkey</v>
      </c>
      <c r="E5" s="1" t="str">
        <f>vlookup($B5,Holidays!$A:$I,3)</f>
        <v>Belek</v>
      </c>
      <c r="F5" s="1" t="str">
        <f>vlookup($A5,Matchdays!$A:$G,4,false)</f>
        <v>Montgomerie</v>
      </c>
      <c r="G5" s="1" t="s">
        <v>26</v>
      </c>
      <c r="H5" s="1">
        <v>4.0</v>
      </c>
      <c r="I5" s="1">
        <v>34.0</v>
      </c>
      <c r="J5" s="1">
        <v>0.0</v>
      </c>
    </row>
    <row r="6">
      <c r="A6" s="1">
        <v>18.0</v>
      </c>
      <c r="B6" s="1">
        <v>4.0</v>
      </c>
      <c r="C6" s="5">
        <f>vlookup($A6,Matchdays!$A:$G,3,false)</f>
        <v>45794</v>
      </c>
      <c r="D6" s="1" t="str">
        <f>vlookup($B6,Holidays!$A:$I,2)</f>
        <v>Turkey</v>
      </c>
      <c r="E6" s="1" t="str">
        <f>vlookup($B6,Holidays!$A:$I,3)</f>
        <v>Belek</v>
      </c>
      <c r="F6" s="1" t="str">
        <f>vlookup($A6,Matchdays!$A:$G,4,false)</f>
        <v>Montgomerie</v>
      </c>
      <c r="G6" s="1" t="s">
        <v>27</v>
      </c>
      <c r="H6" s="1">
        <v>5.0</v>
      </c>
      <c r="I6" s="1">
        <v>32.0</v>
      </c>
      <c r="J6" s="1">
        <v>0.0</v>
      </c>
      <c r="K6" s="1">
        <v>2.0</v>
      </c>
    </row>
    <row r="7">
      <c r="A7" s="1">
        <v>18.0</v>
      </c>
      <c r="B7" s="1">
        <v>4.0</v>
      </c>
      <c r="C7" s="5">
        <f>vlookup($A7,Matchdays!$A:$G,3,false)</f>
        <v>45794</v>
      </c>
      <c r="D7" s="1" t="str">
        <f>vlookup($B7,Holidays!$A:$I,2)</f>
        <v>Turkey</v>
      </c>
      <c r="E7" s="1" t="str">
        <f>vlookup($B7,Holidays!$A:$I,3)</f>
        <v>Belek</v>
      </c>
      <c r="F7" s="1" t="str">
        <f>vlookup($A7,Matchdays!$A:$G,4,false)</f>
        <v>Montgomerie</v>
      </c>
      <c r="G7" s="1" t="s">
        <v>22</v>
      </c>
      <c r="H7" s="1">
        <v>6.0</v>
      </c>
      <c r="I7" s="1">
        <v>31.0</v>
      </c>
      <c r="J7" s="1">
        <v>0.0</v>
      </c>
    </row>
    <row r="8">
      <c r="A8" s="1">
        <v>18.0</v>
      </c>
      <c r="B8" s="1">
        <v>4.0</v>
      </c>
      <c r="C8" s="5">
        <f>vlookup($A8,Matchdays!$A:$G,3,false)</f>
        <v>45794</v>
      </c>
      <c r="D8" s="1" t="str">
        <f>vlookup($B8,Holidays!$A:$I,2)</f>
        <v>Turkey</v>
      </c>
      <c r="E8" s="1" t="str">
        <f>vlookup($B8,Holidays!$A:$I,3)</f>
        <v>Belek</v>
      </c>
      <c r="F8" s="1" t="str">
        <f>vlookup($A8,Matchdays!$A:$G,4,false)</f>
        <v>Montgomerie</v>
      </c>
      <c r="G8" s="1" t="s">
        <v>48</v>
      </c>
      <c r="H8" s="1">
        <v>7.0</v>
      </c>
      <c r="I8" s="1">
        <v>29.0</v>
      </c>
      <c r="J8" s="1">
        <v>0.0</v>
      </c>
    </row>
    <row r="9">
      <c r="A9" s="1">
        <v>18.0</v>
      </c>
      <c r="B9" s="1">
        <v>4.0</v>
      </c>
      <c r="C9" s="5">
        <f>vlookup($A9,Matchdays!$A:$G,3,false)</f>
        <v>45794</v>
      </c>
      <c r="D9" s="1" t="str">
        <f>vlookup($B9,Holidays!$A:$I,2)</f>
        <v>Turkey</v>
      </c>
      <c r="E9" s="1" t="str">
        <f>vlookup($B9,Holidays!$A:$I,3)</f>
        <v>Belek</v>
      </c>
      <c r="F9" s="1" t="str">
        <f>vlookup($A9,Matchdays!$A:$G,4,false)</f>
        <v>Montgomerie</v>
      </c>
      <c r="G9" s="1" t="s">
        <v>23</v>
      </c>
      <c r="H9" s="1">
        <v>8.0</v>
      </c>
      <c r="I9" s="1">
        <v>28.0</v>
      </c>
      <c r="J9" s="1">
        <v>0.0</v>
      </c>
      <c r="K9" s="1">
        <v>1.0</v>
      </c>
    </row>
    <row r="10">
      <c r="A10" s="1">
        <v>18.0</v>
      </c>
      <c r="B10" s="1">
        <v>4.0</v>
      </c>
      <c r="C10" s="5">
        <f>vlookup($A10,Matchdays!$A:$G,3,false)</f>
        <v>45794</v>
      </c>
      <c r="D10" s="1" t="str">
        <f>vlookup($B10,Holidays!$A:$I,2)</f>
        <v>Turkey</v>
      </c>
      <c r="E10" s="1" t="str">
        <f>vlookup($B10,Holidays!$A:$I,3)</f>
        <v>Belek</v>
      </c>
      <c r="F10" s="1" t="str">
        <f>vlookup($A10,Matchdays!$A:$G,4,false)</f>
        <v>Montgomerie</v>
      </c>
      <c r="G10" s="1" t="s">
        <v>16</v>
      </c>
      <c r="H10" s="1">
        <v>9.0</v>
      </c>
      <c r="I10" s="1">
        <v>28.0</v>
      </c>
      <c r="J10" s="1">
        <v>0.0</v>
      </c>
      <c r="K10" s="1">
        <v>3.0</v>
      </c>
    </row>
    <row r="11">
      <c r="A11" s="1">
        <v>18.0</v>
      </c>
      <c r="B11" s="1">
        <v>4.0</v>
      </c>
      <c r="C11" s="5">
        <f>vlookup($A11,Matchdays!$A:$G,3,false)</f>
        <v>45794</v>
      </c>
      <c r="D11" s="1" t="str">
        <f>vlookup($B11,Holidays!$A:$I,2)</f>
        <v>Turkey</v>
      </c>
      <c r="E11" s="1" t="str">
        <f>vlookup($B11,Holidays!$A:$I,3)</f>
        <v>Belek</v>
      </c>
      <c r="F11" s="1" t="str">
        <f>vlookup($A11,Matchdays!$A:$G,4,false)</f>
        <v>Montgomerie</v>
      </c>
      <c r="G11" s="1" t="s">
        <v>20</v>
      </c>
      <c r="H11" s="1">
        <v>10.0</v>
      </c>
      <c r="I11" s="1">
        <v>23.0</v>
      </c>
      <c r="J11" s="1">
        <v>0.0</v>
      </c>
    </row>
    <row r="12">
      <c r="A12" s="1">
        <v>18.0</v>
      </c>
      <c r="B12" s="1">
        <v>4.0</v>
      </c>
      <c r="C12" s="5">
        <f>vlookup($A12,Matchdays!$A:$G,3,false)</f>
        <v>45794</v>
      </c>
      <c r="D12" s="1" t="str">
        <f>vlookup($B12,Holidays!$A:$I,2)</f>
        <v>Turkey</v>
      </c>
      <c r="E12" s="1" t="str">
        <f>vlookup($B12,Holidays!$A:$I,3)</f>
        <v>Belek</v>
      </c>
      <c r="F12" s="1" t="str">
        <f>vlookup($A12,Matchdays!$A:$G,4,false)</f>
        <v>Montgomerie</v>
      </c>
      <c r="G12" s="1" t="s">
        <v>70</v>
      </c>
      <c r="H12" s="1">
        <v>11.0</v>
      </c>
      <c r="I12" s="1">
        <v>23.0</v>
      </c>
      <c r="J12" s="1">
        <v>0.0</v>
      </c>
    </row>
    <row r="13">
      <c r="A13" s="1">
        <v>18.0</v>
      </c>
      <c r="B13" s="1">
        <v>4.0</v>
      </c>
      <c r="C13" s="5">
        <f>vlookup($A13,Matchdays!$A:$G,3,false)</f>
        <v>45794</v>
      </c>
      <c r="D13" s="1" t="str">
        <f>vlookup($B13,Holidays!$A:$I,2)</f>
        <v>Turkey</v>
      </c>
      <c r="E13" s="1" t="str">
        <f>vlookup($B13,Holidays!$A:$I,3)</f>
        <v>Belek</v>
      </c>
      <c r="F13" s="1" t="str">
        <f>vlookup($A13,Matchdays!$A:$G,4,false)</f>
        <v>Montgomerie</v>
      </c>
      <c r="G13" s="1" t="s">
        <v>19</v>
      </c>
      <c r="H13" s="27" t="s">
        <v>154</v>
      </c>
      <c r="I13" s="1"/>
      <c r="J13" s="1"/>
    </row>
    <row r="14">
      <c r="A14" s="1">
        <v>11.0</v>
      </c>
      <c r="B14" s="1">
        <v>3.0</v>
      </c>
      <c r="C14" s="5">
        <f>vlookup($A14,Matchdays!$A:$G,3,false)</f>
        <v>45546</v>
      </c>
      <c r="D14" s="1" t="str">
        <f>vlookup($B14,Holidays!$A:$I,2)</f>
        <v>Spain</v>
      </c>
      <c r="E14" s="1" t="str">
        <f>vlookup($B14,Holidays!$A:$I,3)</f>
        <v>Malaga</v>
      </c>
      <c r="F14" s="1" t="str">
        <f>vlookup($A14,Matchdays!$A:$G,4,false)</f>
        <v>Miguel Angel Jimenez Academy</v>
      </c>
      <c r="G14" s="1" t="s">
        <v>22</v>
      </c>
      <c r="H14" s="1">
        <v>1.0</v>
      </c>
    </row>
    <row r="15">
      <c r="A15" s="1">
        <v>11.0</v>
      </c>
      <c r="B15" s="1">
        <v>3.0</v>
      </c>
      <c r="C15" s="5">
        <f>vlookup($A15,Matchdays!$A:$G,3,false)</f>
        <v>45546</v>
      </c>
      <c r="D15" s="1" t="str">
        <f>vlookup($B15,Holidays!$A:$I,2)</f>
        <v>Spain</v>
      </c>
      <c r="E15" s="1" t="str">
        <f>vlookup($B15,Holidays!$A:$I,3)</f>
        <v>Malaga</v>
      </c>
      <c r="F15" s="1" t="str">
        <f>vlookup($A15,Matchdays!$A:$G,4,false)</f>
        <v>Miguel Angel Jimenez Academy</v>
      </c>
      <c r="G15" s="1" t="s">
        <v>26</v>
      </c>
      <c r="H15" s="1">
        <v>2.0</v>
      </c>
    </row>
    <row r="16">
      <c r="A16" s="1">
        <v>11.0</v>
      </c>
      <c r="B16" s="1">
        <v>3.0</v>
      </c>
      <c r="C16" s="5">
        <f>vlookup($A16,Matchdays!$A:$G,3,false)</f>
        <v>45546</v>
      </c>
      <c r="D16" s="1" t="str">
        <f>vlookup($B16,Holidays!$A:$I,2)</f>
        <v>Spain</v>
      </c>
      <c r="E16" s="1" t="str">
        <f>vlookup($B16,Holidays!$A:$I,3)</f>
        <v>Malaga</v>
      </c>
      <c r="F16" s="1" t="str">
        <f>vlookup($A16,Matchdays!$A:$G,4,false)</f>
        <v>Miguel Angel Jimenez Academy</v>
      </c>
      <c r="G16" s="1" t="s">
        <v>54</v>
      </c>
      <c r="H16" s="1">
        <v>3.0</v>
      </c>
    </row>
    <row r="17">
      <c r="A17" s="1">
        <v>11.0</v>
      </c>
      <c r="B17" s="1">
        <v>3.0</v>
      </c>
      <c r="C17" s="5">
        <f>vlookup($A17,Matchdays!$A:$G,3,false)</f>
        <v>45546</v>
      </c>
      <c r="D17" s="1" t="str">
        <f>vlookup($B17,Holidays!$A:$I,2)</f>
        <v>Spain</v>
      </c>
      <c r="E17" s="1" t="str">
        <f>vlookup($B17,Holidays!$A:$I,3)</f>
        <v>Malaga</v>
      </c>
      <c r="F17" s="1" t="str">
        <f>vlookup($A17,Matchdays!$A:$G,4,false)</f>
        <v>Miguel Angel Jimenez Academy</v>
      </c>
      <c r="G17" s="1" t="s">
        <v>27</v>
      </c>
      <c r="H17" s="1">
        <v>4.0</v>
      </c>
    </row>
    <row r="18">
      <c r="A18" s="1">
        <v>11.0</v>
      </c>
      <c r="B18" s="1">
        <v>3.0</v>
      </c>
      <c r="C18" s="5">
        <f>vlookup($A18,Matchdays!$A:$G,3,false)</f>
        <v>45546</v>
      </c>
      <c r="D18" s="1" t="str">
        <f>vlookup($B18,Holidays!$A:$I,2)</f>
        <v>Spain</v>
      </c>
      <c r="E18" s="1" t="str">
        <f>vlookup($B18,Holidays!$A:$I,3)</f>
        <v>Malaga</v>
      </c>
      <c r="F18" s="1" t="str">
        <f>vlookup($A18,Matchdays!$A:$G,4,false)</f>
        <v>Miguel Angel Jimenez Academy</v>
      </c>
      <c r="G18" s="1" t="s">
        <v>63</v>
      </c>
      <c r="H18" s="1">
        <v>5.0</v>
      </c>
    </row>
    <row r="19">
      <c r="A19" s="1">
        <v>11.0</v>
      </c>
      <c r="B19" s="1">
        <v>3.0</v>
      </c>
      <c r="C19" s="5">
        <f>vlookup($A19,Matchdays!$A:$G,3,false)</f>
        <v>45546</v>
      </c>
      <c r="D19" s="1" t="str">
        <f>vlookup($B19,Holidays!$A:$I,2)</f>
        <v>Spain</v>
      </c>
      <c r="E19" s="1" t="str">
        <f>vlookup($B19,Holidays!$A:$I,3)</f>
        <v>Malaga</v>
      </c>
      <c r="F19" s="1" t="str">
        <f>vlookup($A19,Matchdays!$A:$G,4,false)</f>
        <v>Miguel Angel Jimenez Academy</v>
      </c>
      <c r="G19" s="1" t="s">
        <v>48</v>
      </c>
      <c r="H19" s="1">
        <v>6.0</v>
      </c>
    </row>
    <row r="20">
      <c r="A20" s="1">
        <v>11.0</v>
      </c>
      <c r="B20" s="1">
        <v>3.0</v>
      </c>
      <c r="C20" s="5">
        <f>vlookup($A20,Matchdays!$A:$G,3,false)</f>
        <v>45546</v>
      </c>
      <c r="D20" s="1" t="str">
        <f>vlookup($B20,Holidays!$A:$I,2)</f>
        <v>Spain</v>
      </c>
      <c r="E20" s="1" t="str">
        <f>vlookup($B20,Holidays!$A:$I,3)</f>
        <v>Malaga</v>
      </c>
      <c r="F20" s="1" t="str">
        <f>vlookup($A20,Matchdays!$A:$G,4,false)</f>
        <v>Miguel Angel Jimenez Academy</v>
      </c>
      <c r="G20" s="1" t="s">
        <v>113</v>
      </c>
      <c r="H20" s="1">
        <v>7.0</v>
      </c>
    </row>
    <row r="21">
      <c r="A21" s="1">
        <v>11.0</v>
      </c>
      <c r="B21" s="1">
        <v>3.0</v>
      </c>
      <c r="C21" s="5">
        <f>vlookup($A21,Matchdays!$A:$G,3,false)</f>
        <v>45546</v>
      </c>
      <c r="D21" s="1" t="str">
        <f>vlookup($B21,Holidays!$A:$I,2)</f>
        <v>Spain</v>
      </c>
      <c r="E21" s="1" t="str">
        <f>vlookup($B21,Holidays!$A:$I,3)</f>
        <v>Malaga</v>
      </c>
      <c r="F21" s="1" t="str">
        <f>vlookup($A21,Matchdays!$A:$G,4,false)</f>
        <v>Miguel Angel Jimenez Academy</v>
      </c>
      <c r="G21" s="1" t="s">
        <v>23</v>
      </c>
      <c r="H21" s="1">
        <v>8.0</v>
      </c>
    </row>
    <row r="22">
      <c r="A22" s="1">
        <v>11.0</v>
      </c>
      <c r="B22" s="1">
        <v>3.0</v>
      </c>
      <c r="C22" s="5">
        <f>vlookup($A22,Matchdays!$A:$G,3,false)</f>
        <v>45546</v>
      </c>
      <c r="D22" s="1" t="str">
        <f>vlookup($B22,Holidays!$A:$I,2)</f>
        <v>Spain</v>
      </c>
      <c r="E22" s="1" t="str">
        <f>vlookup($B22,Holidays!$A:$I,3)</f>
        <v>Malaga</v>
      </c>
      <c r="F22" s="1" t="str">
        <f>vlookup($A22,Matchdays!$A:$G,4,false)</f>
        <v>Miguel Angel Jimenez Academy</v>
      </c>
      <c r="G22" s="1" t="s">
        <v>15</v>
      </c>
      <c r="H22" s="1">
        <v>9.0</v>
      </c>
    </row>
    <row r="23">
      <c r="A23" s="1">
        <v>11.0</v>
      </c>
      <c r="B23" s="1">
        <v>3.0</v>
      </c>
      <c r="C23" s="5">
        <f>vlookup($A23,Matchdays!$A:$G,3,false)</f>
        <v>45546</v>
      </c>
      <c r="D23" s="1" t="str">
        <f>vlookup($B23,Holidays!$A:$I,2)</f>
        <v>Spain</v>
      </c>
      <c r="E23" s="1" t="str">
        <f>vlookup($B23,Holidays!$A:$I,3)</f>
        <v>Malaga</v>
      </c>
      <c r="F23" s="1" t="str">
        <f>vlookup($A23,Matchdays!$A:$G,4,false)</f>
        <v>Miguel Angel Jimenez Academy</v>
      </c>
      <c r="G23" s="1" t="s">
        <v>16</v>
      </c>
      <c r="H23" s="1">
        <v>10.0</v>
      </c>
    </row>
    <row r="24">
      <c r="A24" s="1">
        <v>11.0</v>
      </c>
      <c r="B24" s="1">
        <v>3.0</v>
      </c>
      <c r="C24" s="5">
        <f>vlookup($A24,Matchdays!$A:$G,3,false)</f>
        <v>45546</v>
      </c>
      <c r="D24" s="1" t="str">
        <f>vlookup($B24,Holidays!$A:$I,2)</f>
        <v>Spain</v>
      </c>
      <c r="E24" s="1" t="str">
        <f>vlookup($B24,Holidays!$A:$I,3)</f>
        <v>Malaga</v>
      </c>
      <c r="F24" s="1" t="str">
        <f>vlookup($A24,Matchdays!$A:$G,4,false)</f>
        <v>Miguel Angel Jimenez Academy</v>
      </c>
      <c r="G24" s="1" t="s">
        <v>19</v>
      </c>
      <c r="H24" s="1">
        <v>11.0</v>
      </c>
    </row>
    <row r="25">
      <c r="A25" s="1">
        <v>11.0</v>
      </c>
      <c r="B25" s="1">
        <v>3.0</v>
      </c>
      <c r="C25" s="5">
        <f>vlookup($A25,Matchdays!$A:$G,3,false)</f>
        <v>45546</v>
      </c>
      <c r="D25" s="1" t="str">
        <f>vlookup($B25,Holidays!$A:$I,2)</f>
        <v>Spain</v>
      </c>
      <c r="E25" s="1" t="str">
        <f>vlookup($B25,Holidays!$A:$I,3)</f>
        <v>Malaga</v>
      </c>
      <c r="F25" s="1" t="str">
        <f>vlookup($A25,Matchdays!$A:$G,4,false)</f>
        <v>Miguel Angel Jimenez Academy</v>
      </c>
      <c r="G25" s="1" t="s">
        <v>14</v>
      </c>
      <c r="H25" s="1">
        <v>12.0</v>
      </c>
    </row>
    <row r="26">
      <c r="A26" s="1">
        <v>10.0</v>
      </c>
      <c r="B26" s="1">
        <v>2.0</v>
      </c>
      <c r="C26" s="5">
        <f>vlookup($A26,Matchdays!$A:$G,3,false)</f>
        <v>45074</v>
      </c>
      <c r="D26" s="1" t="str">
        <f>vlookup($B26,Holidays!$A:$I,2)</f>
        <v>Spain</v>
      </c>
      <c r="E26" s="1" t="str">
        <f>vlookup($B26,Holidays!$A:$I,3)</f>
        <v>Murcia</v>
      </c>
      <c r="F26" s="1" t="str">
        <f>vlookup($A26,Matchdays!$A:$G,4,false)</f>
        <v>Saurines</v>
      </c>
      <c r="G26" s="1" t="s">
        <v>19</v>
      </c>
      <c r="H26" s="1">
        <v>1.0</v>
      </c>
    </row>
    <row r="27">
      <c r="A27" s="1">
        <v>10.0</v>
      </c>
      <c r="B27" s="1">
        <v>2.0</v>
      </c>
      <c r="C27" s="5">
        <f>vlookup($A27,Matchdays!$A:$G,3,false)</f>
        <v>45074</v>
      </c>
      <c r="D27" s="1" t="str">
        <f>vlookup($B27,Holidays!$A:$I,2)</f>
        <v>Spain</v>
      </c>
      <c r="E27" s="1" t="str">
        <f>vlookup($B27,Holidays!$A:$I,3)</f>
        <v>Murcia</v>
      </c>
      <c r="F27" s="1" t="str">
        <f>vlookup($A27,Matchdays!$A:$G,4,false)</f>
        <v>Saurines</v>
      </c>
      <c r="G27" s="1" t="s">
        <v>14</v>
      </c>
      <c r="H27" s="6" t="s">
        <v>155</v>
      </c>
    </row>
    <row r="28">
      <c r="A28" s="1">
        <v>10.0</v>
      </c>
      <c r="B28" s="1">
        <v>2.0</v>
      </c>
      <c r="C28" s="5">
        <f>vlookup($A28,Matchdays!$A:$G,3,false)</f>
        <v>45074</v>
      </c>
      <c r="D28" s="1" t="str">
        <f>vlookup($B28,Holidays!$A:$I,2)</f>
        <v>Spain</v>
      </c>
      <c r="E28" s="1" t="str">
        <f>vlookup($B28,Holidays!$A:$I,3)</f>
        <v>Murcia</v>
      </c>
      <c r="F28" s="1" t="str">
        <f>vlookup($A28,Matchdays!$A:$G,4,false)</f>
        <v>Saurines</v>
      </c>
      <c r="G28" s="1" t="s">
        <v>16</v>
      </c>
      <c r="H28" s="6" t="s">
        <v>155</v>
      </c>
      <c r="K28" s="1">
        <v>1.0</v>
      </c>
    </row>
    <row r="29">
      <c r="A29" s="1">
        <v>10.0</v>
      </c>
      <c r="B29" s="1">
        <v>2.0</v>
      </c>
      <c r="C29" s="5">
        <f>vlookup($A29,Matchdays!$A:$G,3,false)</f>
        <v>45074</v>
      </c>
      <c r="D29" s="1" t="str">
        <f>vlookup($B29,Holidays!$A:$I,2)</f>
        <v>Spain</v>
      </c>
      <c r="E29" s="1" t="str">
        <f>vlookup($B29,Holidays!$A:$I,3)</f>
        <v>Murcia</v>
      </c>
      <c r="F29" s="1" t="str">
        <f>vlookup($A29,Matchdays!$A:$G,4,false)</f>
        <v>Saurines</v>
      </c>
      <c r="G29" s="1" t="s">
        <v>22</v>
      </c>
      <c r="H29" s="6" t="s">
        <v>155</v>
      </c>
    </row>
    <row r="30">
      <c r="A30" s="1">
        <v>10.0</v>
      </c>
      <c r="B30" s="1">
        <v>2.0</v>
      </c>
      <c r="C30" s="5">
        <f>vlookup($A30,Matchdays!$A:$G,3,false)</f>
        <v>45074</v>
      </c>
      <c r="D30" s="1" t="str">
        <f>vlookup($B30,Holidays!$A:$I,2)</f>
        <v>Spain</v>
      </c>
      <c r="E30" s="1" t="str">
        <f>vlookup($B30,Holidays!$A:$I,3)</f>
        <v>Murcia</v>
      </c>
      <c r="F30" s="1" t="str">
        <f>vlookup($A30,Matchdays!$A:$G,4,false)</f>
        <v>Saurines</v>
      </c>
      <c r="G30" s="1" t="s">
        <v>15</v>
      </c>
      <c r="H30" s="6" t="s">
        <v>155</v>
      </c>
    </row>
    <row r="31">
      <c r="A31" s="1">
        <v>10.0</v>
      </c>
      <c r="B31" s="1">
        <v>2.0</v>
      </c>
      <c r="C31" s="5">
        <f>vlookup($A31,Matchdays!$A:$G,3,false)</f>
        <v>45074</v>
      </c>
      <c r="D31" s="1" t="str">
        <f>vlookup($B31,Holidays!$A:$I,2)</f>
        <v>Spain</v>
      </c>
      <c r="E31" s="1" t="str">
        <f>vlookup($B31,Holidays!$A:$I,3)</f>
        <v>Murcia</v>
      </c>
      <c r="F31" s="1" t="str">
        <f>vlookup($A31,Matchdays!$A:$G,4,false)</f>
        <v>Saurines</v>
      </c>
      <c r="G31" s="1" t="s">
        <v>54</v>
      </c>
      <c r="H31" s="6" t="s">
        <v>155</v>
      </c>
    </row>
    <row r="32">
      <c r="A32" s="1">
        <v>10.0</v>
      </c>
      <c r="B32" s="1">
        <v>2.0</v>
      </c>
      <c r="C32" s="5">
        <f>vlookup($A32,Matchdays!$A:$G,3,false)</f>
        <v>45074</v>
      </c>
      <c r="D32" s="1" t="str">
        <f>vlookup($B32,Holidays!$A:$I,2)</f>
        <v>Spain</v>
      </c>
      <c r="E32" s="1" t="str">
        <f>vlookup($B32,Holidays!$A:$I,3)</f>
        <v>Murcia</v>
      </c>
      <c r="F32" s="1" t="str">
        <f>vlookup($A32,Matchdays!$A:$G,4,false)</f>
        <v>Saurines</v>
      </c>
      <c r="G32" s="1" t="s">
        <v>20</v>
      </c>
      <c r="H32" s="6" t="s">
        <v>155</v>
      </c>
    </row>
    <row r="33">
      <c r="A33" s="1">
        <v>10.0</v>
      </c>
      <c r="B33" s="1">
        <v>2.0</v>
      </c>
      <c r="C33" s="5">
        <f>vlookup($A33,Matchdays!$A:$G,3,false)</f>
        <v>45074</v>
      </c>
      <c r="D33" s="1" t="str">
        <f>vlookup($B33,Holidays!$A:$I,2)</f>
        <v>Spain</v>
      </c>
      <c r="E33" s="1" t="str">
        <f>vlookup($B33,Holidays!$A:$I,3)</f>
        <v>Murcia</v>
      </c>
      <c r="F33" s="1" t="str">
        <f>vlookup($A33,Matchdays!$A:$G,4,false)</f>
        <v>Saurines</v>
      </c>
      <c r="G33" s="1" t="s">
        <v>23</v>
      </c>
      <c r="H33" s="6" t="s">
        <v>155</v>
      </c>
    </row>
    <row r="34">
      <c r="A34" s="1">
        <v>10.0</v>
      </c>
      <c r="B34" s="1">
        <v>2.0</v>
      </c>
      <c r="C34" s="5">
        <f>vlookup($A34,Matchdays!$A:$G,3,false)</f>
        <v>45074</v>
      </c>
      <c r="D34" s="1" t="str">
        <f>vlookup($B34,Holidays!$A:$I,2)</f>
        <v>Spain</v>
      </c>
      <c r="E34" s="1" t="str">
        <f>vlookup($B34,Holidays!$A:$I,3)</f>
        <v>Murcia</v>
      </c>
      <c r="F34" s="1" t="str">
        <f>vlookup($A34,Matchdays!$A:$G,4,false)</f>
        <v>Saurines</v>
      </c>
      <c r="G34" s="1" t="s">
        <v>26</v>
      </c>
      <c r="H34" s="6" t="s">
        <v>155</v>
      </c>
    </row>
    <row r="35">
      <c r="A35" s="1">
        <v>10.0</v>
      </c>
      <c r="B35" s="1">
        <v>2.0</v>
      </c>
      <c r="C35" s="5">
        <f>vlookup($A35,Matchdays!$A:$G,3,false)</f>
        <v>45074</v>
      </c>
      <c r="D35" s="1" t="str">
        <f>vlookup($B35,Holidays!$A:$I,2)</f>
        <v>Spain</v>
      </c>
      <c r="E35" s="1" t="str">
        <f>vlookup($B35,Holidays!$A:$I,3)</f>
        <v>Murcia</v>
      </c>
      <c r="F35" s="1" t="str">
        <f>vlookup($A35,Matchdays!$A:$G,4,false)</f>
        <v>Saurines</v>
      </c>
      <c r="G35" s="1" t="s">
        <v>43</v>
      </c>
      <c r="H35" s="6" t="s">
        <v>156</v>
      </c>
    </row>
    <row r="36">
      <c r="A36" s="1">
        <v>10.0</v>
      </c>
      <c r="B36" s="1">
        <v>2.0</v>
      </c>
      <c r="C36" s="5">
        <f>vlookup($A36,Matchdays!$A:$G,3,false)</f>
        <v>45074</v>
      </c>
      <c r="D36" s="1" t="str">
        <f>vlookup($B36,Holidays!$A:$I,2)</f>
        <v>Spain</v>
      </c>
      <c r="E36" s="1" t="str">
        <f>vlookup($B36,Holidays!$A:$I,3)</f>
        <v>Murcia</v>
      </c>
      <c r="F36" s="1" t="str">
        <f>vlookup($A36,Matchdays!$A:$G,4,false)</f>
        <v>Saurines</v>
      </c>
      <c r="G36" s="1" t="s">
        <v>27</v>
      </c>
      <c r="H36" s="6" t="s">
        <v>156</v>
      </c>
    </row>
    <row r="37">
      <c r="A37" s="1">
        <v>10.0</v>
      </c>
      <c r="B37" s="1">
        <v>2.0</v>
      </c>
      <c r="C37" s="5">
        <f>vlookup($A37,Matchdays!$A:$G,3,false)</f>
        <v>45074</v>
      </c>
      <c r="D37" s="1" t="str">
        <f>vlookup($B37,Holidays!$A:$I,2)</f>
        <v>Spain</v>
      </c>
      <c r="E37" s="1" t="str">
        <f>vlookup($B37,Holidays!$A:$I,3)</f>
        <v>Murcia</v>
      </c>
      <c r="F37" s="1" t="str">
        <f>vlookup($A37,Matchdays!$A:$G,4,false)</f>
        <v>Saurines</v>
      </c>
      <c r="G37" s="1" t="s">
        <v>48</v>
      </c>
      <c r="H37" s="6" t="s">
        <v>156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157</v>
      </c>
      <c r="C1" s="1" t="s">
        <v>158</v>
      </c>
      <c r="D1" s="1" t="s">
        <v>159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41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40</v>
      </c>
      <c r="Q1" s="1" t="s">
        <v>32</v>
      </c>
    </row>
    <row r="2">
      <c r="A2" s="1">
        <v>1.0</v>
      </c>
      <c r="B2" s="1" t="s">
        <v>22</v>
      </c>
      <c r="C2" s="1">
        <v>4.0</v>
      </c>
      <c r="D2" s="1">
        <v>8.0</v>
      </c>
      <c r="E2" s="1">
        <v>10.0</v>
      </c>
      <c r="F2" s="1">
        <v>0.62</v>
      </c>
      <c r="G2" s="1" t="s">
        <v>169</v>
      </c>
      <c r="H2" s="1" t="s">
        <v>170</v>
      </c>
      <c r="I2" s="1" t="s">
        <v>171</v>
      </c>
      <c r="J2" s="1" t="s">
        <v>172</v>
      </c>
      <c r="K2" s="1">
        <v>1.0</v>
      </c>
      <c r="L2" s="1">
        <v>0.0</v>
      </c>
      <c r="M2" s="1">
        <v>0.0</v>
      </c>
      <c r="N2" s="1">
        <v>0.0</v>
      </c>
      <c r="O2" s="1">
        <v>0.0</v>
      </c>
      <c r="P2" s="1">
        <v>1.0</v>
      </c>
      <c r="Q2" s="1">
        <v>0.0</v>
      </c>
    </row>
    <row r="3">
      <c r="A3" s="1">
        <v>2.0</v>
      </c>
      <c r="B3" s="1" t="s">
        <v>14</v>
      </c>
      <c r="C3" s="1">
        <v>4.0</v>
      </c>
      <c r="D3" s="1">
        <v>7.63</v>
      </c>
      <c r="E3" s="1">
        <v>10.0</v>
      </c>
      <c r="F3" s="1">
        <v>0.59</v>
      </c>
      <c r="G3" s="1" t="s">
        <v>173</v>
      </c>
      <c r="H3" s="1" t="s">
        <v>174</v>
      </c>
      <c r="I3" s="1" t="s">
        <v>175</v>
      </c>
      <c r="J3" s="1" t="s">
        <v>172</v>
      </c>
      <c r="K3" s="1">
        <v>2.0</v>
      </c>
      <c r="L3" s="1">
        <v>0.0</v>
      </c>
      <c r="M3" s="1">
        <v>0.0</v>
      </c>
      <c r="N3" s="1">
        <v>0.0</v>
      </c>
      <c r="O3" s="1">
        <v>0.0</v>
      </c>
      <c r="P3" s="1">
        <v>1.0</v>
      </c>
      <c r="Q3" s="1">
        <v>1.0</v>
      </c>
    </row>
    <row r="4">
      <c r="A4" s="1">
        <v>3.0</v>
      </c>
      <c r="B4" s="1" t="s">
        <v>26</v>
      </c>
      <c r="C4" s="1">
        <v>4.0</v>
      </c>
      <c r="D4" s="1">
        <v>7.33</v>
      </c>
      <c r="E4" s="1">
        <v>10.0</v>
      </c>
      <c r="F4" s="1">
        <v>0.56</v>
      </c>
      <c r="G4" s="1" t="s">
        <v>176</v>
      </c>
      <c r="H4" s="1" t="s">
        <v>177</v>
      </c>
      <c r="I4" s="1" t="s">
        <v>178</v>
      </c>
      <c r="J4" s="1" t="s">
        <v>172</v>
      </c>
      <c r="K4" s="1">
        <v>0.0</v>
      </c>
      <c r="L4" s="1">
        <v>0.0</v>
      </c>
      <c r="M4" s="1">
        <v>1.0</v>
      </c>
      <c r="N4" s="1">
        <v>0.0</v>
      </c>
      <c r="O4" s="1">
        <v>1.0</v>
      </c>
      <c r="P4" s="1">
        <v>0.0</v>
      </c>
      <c r="Q4" s="1">
        <v>4.0</v>
      </c>
    </row>
    <row r="5">
      <c r="A5" s="1">
        <v>3.0</v>
      </c>
      <c r="B5" s="1" t="s">
        <v>16</v>
      </c>
      <c r="C5" s="1">
        <v>4.0</v>
      </c>
      <c r="D5" s="1">
        <v>7.33</v>
      </c>
      <c r="E5" s="1">
        <v>9.5</v>
      </c>
      <c r="F5" s="1">
        <v>0.56</v>
      </c>
      <c r="G5" s="1" t="s">
        <v>179</v>
      </c>
      <c r="H5" s="1" t="s">
        <v>180</v>
      </c>
      <c r="I5" s="1" t="s">
        <v>181</v>
      </c>
      <c r="J5" s="1" t="s">
        <v>172</v>
      </c>
      <c r="K5" s="1">
        <v>11.0</v>
      </c>
      <c r="L5" s="1">
        <v>0.0</v>
      </c>
      <c r="M5" s="1">
        <v>0.0</v>
      </c>
      <c r="N5" s="1">
        <v>2.0</v>
      </c>
      <c r="O5" s="1">
        <v>1.0</v>
      </c>
      <c r="P5" s="1">
        <v>0.0</v>
      </c>
      <c r="Q5" s="1">
        <v>0.0</v>
      </c>
    </row>
    <row r="6">
      <c r="A6" s="1">
        <v>5.0</v>
      </c>
      <c r="B6" s="1" t="s">
        <v>182</v>
      </c>
      <c r="C6" s="1">
        <v>4.0</v>
      </c>
      <c r="D6" s="1">
        <v>7.0</v>
      </c>
      <c r="E6" s="1">
        <v>9.5</v>
      </c>
      <c r="F6" s="1">
        <v>0.54</v>
      </c>
      <c r="G6" s="1" t="s">
        <v>176</v>
      </c>
      <c r="H6" s="1" t="s">
        <v>180</v>
      </c>
      <c r="I6" s="1" t="s">
        <v>178</v>
      </c>
      <c r="J6" s="1" t="s">
        <v>183</v>
      </c>
      <c r="K6" s="1">
        <v>2.0</v>
      </c>
      <c r="L6" s="1">
        <v>0.0</v>
      </c>
      <c r="M6" s="1">
        <v>1.0</v>
      </c>
      <c r="N6" s="1">
        <v>0.0</v>
      </c>
      <c r="O6" s="1">
        <v>1.0</v>
      </c>
      <c r="P6" s="1">
        <v>0.0</v>
      </c>
      <c r="Q6" s="1">
        <v>0.0</v>
      </c>
    </row>
    <row r="7">
      <c r="A7" s="1">
        <v>6.0</v>
      </c>
      <c r="B7" s="1" t="s">
        <v>54</v>
      </c>
      <c r="C7" s="1">
        <v>4.0</v>
      </c>
      <c r="D7" s="1">
        <v>6.63</v>
      </c>
      <c r="E7" s="1">
        <v>9.0</v>
      </c>
      <c r="F7" s="1">
        <v>0.51</v>
      </c>
      <c r="G7" s="1" t="s">
        <v>173</v>
      </c>
      <c r="H7" s="1" t="s">
        <v>184</v>
      </c>
      <c r="I7" s="1" t="s">
        <v>185</v>
      </c>
      <c r="J7" s="1" t="s">
        <v>186</v>
      </c>
      <c r="K7" s="1">
        <v>4.0</v>
      </c>
      <c r="L7" s="1">
        <v>0.0</v>
      </c>
      <c r="M7" s="1">
        <v>1.0</v>
      </c>
      <c r="N7" s="1">
        <v>0.0</v>
      </c>
      <c r="O7" s="1">
        <v>0.0</v>
      </c>
      <c r="P7" s="1">
        <v>0.0</v>
      </c>
      <c r="Q7" s="1">
        <v>1.0</v>
      </c>
    </row>
    <row r="8">
      <c r="A8" s="1">
        <v>7.0</v>
      </c>
      <c r="B8" s="1" t="s">
        <v>27</v>
      </c>
      <c r="C8" s="1">
        <v>4.0</v>
      </c>
      <c r="D8" s="1">
        <v>6.33</v>
      </c>
      <c r="E8" s="1">
        <v>9.0</v>
      </c>
      <c r="F8" s="1">
        <v>0.45</v>
      </c>
      <c r="G8" s="1" t="s">
        <v>187</v>
      </c>
      <c r="H8" s="1" t="s">
        <v>188</v>
      </c>
      <c r="I8" s="1" t="s">
        <v>189</v>
      </c>
      <c r="J8" s="1" t="s">
        <v>172</v>
      </c>
      <c r="K8" s="1">
        <v>3.0</v>
      </c>
      <c r="L8" s="1">
        <v>0.0</v>
      </c>
      <c r="M8" s="1">
        <v>1.0</v>
      </c>
      <c r="N8" s="1">
        <v>1.0</v>
      </c>
      <c r="O8" s="1">
        <v>0.0</v>
      </c>
      <c r="P8" s="1">
        <v>0.0</v>
      </c>
      <c r="Q8" s="1">
        <v>5.0</v>
      </c>
    </row>
    <row r="9">
      <c r="A9" s="1">
        <v>8.0</v>
      </c>
      <c r="B9" s="1" t="s">
        <v>23</v>
      </c>
      <c r="C9" s="1">
        <v>4.0</v>
      </c>
      <c r="D9" s="1">
        <v>6.13</v>
      </c>
      <c r="E9" s="1">
        <v>8.0</v>
      </c>
      <c r="F9" s="1">
        <v>0.47</v>
      </c>
      <c r="G9" s="1" t="s">
        <v>173</v>
      </c>
      <c r="H9" s="1" t="s">
        <v>177</v>
      </c>
      <c r="I9" s="1" t="s">
        <v>189</v>
      </c>
      <c r="J9" s="1" t="s">
        <v>172</v>
      </c>
      <c r="K9" s="1">
        <v>10.0</v>
      </c>
      <c r="L9" s="1">
        <v>0.0</v>
      </c>
      <c r="M9" s="1">
        <v>0.0</v>
      </c>
      <c r="N9" s="1">
        <v>1.0</v>
      </c>
      <c r="O9" s="1">
        <v>1.0</v>
      </c>
      <c r="P9" s="1">
        <v>0.0</v>
      </c>
      <c r="Q9" s="1">
        <v>0.0</v>
      </c>
    </row>
    <row r="10">
      <c r="A10" s="1">
        <v>9.0</v>
      </c>
      <c r="B10" s="1" t="s">
        <v>20</v>
      </c>
      <c r="C10" s="1">
        <v>3.0</v>
      </c>
      <c r="D10" s="1">
        <v>5.33</v>
      </c>
      <c r="E10" s="1">
        <v>8.0</v>
      </c>
      <c r="F10" s="1">
        <v>0.48</v>
      </c>
      <c r="G10" s="1" t="s">
        <v>187</v>
      </c>
      <c r="H10" s="1" t="s">
        <v>190</v>
      </c>
      <c r="I10" s="1" t="s">
        <v>191</v>
      </c>
      <c r="J10" s="1" t="s">
        <v>172</v>
      </c>
      <c r="K10" s="1">
        <v>2.0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1.0</v>
      </c>
    </row>
    <row r="11">
      <c r="A11" s="1">
        <v>10.0</v>
      </c>
      <c r="B11" s="1" t="s">
        <v>192</v>
      </c>
      <c r="C11" s="1">
        <v>4.0</v>
      </c>
      <c r="D11" s="1">
        <v>4.83</v>
      </c>
      <c r="E11" s="1">
        <v>7.5</v>
      </c>
      <c r="F11" s="1">
        <v>0.37</v>
      </c>
      <c r="G11" s="1" t="s">
        <v>179</v>
      </c>
      <c r="H11" s="1" t="s">
        <v>193</v>
      </c>
      <c r="I11" s="1" t="s">
        <v>189</v>
      </c>
      <c r="J11" s="1" t="s">
        <v>172</v>
      </c>
      <c r="K11" s="1">
        <v>0.0</v>
      </c>
      <c r="L11" s="1">
        <v>0.0</v>
      </c>
      <c r="M11" s="1">
        <v>2.0</v>
      </c>
      <c r="N11" s="1">
        <v>0.0</v>
      </c>
      <c r="O11" s="1">
        <v>0.0</v>
      </c>
      <c r="P11" s="1">
        <v>1.0</v>
      </c>
      <c r="Q11" s="1">
        <v>1.0</v>
      </c>
    </row>
    <row r="12">
      <c r="A12" s="1">
        <v>11.0</v>
      </c>
      <c r="B12" s="1" t="s">
        <v>48</v>
      </c>
      <c r="C12" s="1">
        <v>4.0</v>
      </c>
      <c r="D12" s="1">
        <v>4.5</v>
      </c>
      <c r="E12" s="1">
        <v>6.0</v>
      </c>
      <c r="F12" s="1">
        <v>0.35</v>
      </c>
      <c r="G12" s="1" t="s">
        <v>169</v>
      </c>
      <c r="H12" s="1" t="s">
        <v>193</v>
      </c>
      <c r="I12" s="1" t="s">
        <v>178</v>
      </c>
      <c r="J12" s="1" t="s">
        <v>172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2.0</v>
      </c>
    </row>
    <row r="13">
      <c r="A13" s="1">
        <v>12.0</v>
      </c>
      <c r="B13" s="1" t="s">
        <v>70</v>
      </c>
      <c r="C13" s="1">
        <v>2.0</v>
      </c>
      <c r="D13" s="1">
        <v>3.33</v>
      </c>
      <c r="E13" s="1">
        <v>4.5</v>
      </c>
      <c r="F13" s="1">
        <v>0.48</v>
      </c>
      <c r="G13" s="1" t="s">
        <v>179</v>
      </c>
      <c r="H13" s="1" t="s">
        <v>194</v>
      </c>
      <c r="I13" s="1" t="s">
        <v>195</v>
      </c>
      <c r="J13" s="1" t="s">
        <v>172</v>
      </c>
      <c r="K13" s="1">
        <v>0.0</v>
      </c>
      <c r="L13" s="1">
        <v>0.0</v>
      </c>
      <c r="M13" s="1">
        <v>1.0</v>
      </c>
      <c r="N13" s="1">
        <v>0.0</v>
      </c>
      <c r="O13" s="1">
        <v>0.0</v>
      </c>
      <c r="P13" s="1">
        <v>0.0</v>
      </c>
      <c r="Q13" s="1">
        <v>1.0</v>
      </c>
    </row>
    <row r="14">
      <c r="A14" s="1">
        <v>13.0</v>
      </c>
      <c r="B14" s="1" t="s">
        <v>63</v>
      </c>
      <c r="C14" s="1">
        <v>1.0</v>
      </c>
      <c r="D14" s="1">
        <v>2.0</v>
      </c>
      <c r="E14" s="1">
        <v>4.5</v>
      </c>
      <c r="F14" s="1">
        <v>0.67</v>
      </c>
      <c r="G14" s="1" t="s">
        <v>196</v>
      </c>
      <c r="H14" s="1" t="s">
        <v>197</v>
      </c>
      <c r="I14" s="1" t="s">
        <v>198</v>
      </c>
      <c r="J14" s="1" t="s">
        <v>172</v>
      </c>
      <c r="K14" s="1">
        <v>3.0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</row>
    <row r="15">
      <c r="A15" s="1">
        <v>14.0</v>
      </c>
      <c r="B15" s="1" t="s">
        <v>43</v>
      </c>
      <c r="C15" s="1">
        <v>2.0</v>
      </c>
      <c r="D15" s="1">
        <v>1.63</v>
      </c>
      <c r="E15" s="1">
        <v>2.0</v>
      </c>
      <c r="F15" s="1">
        <v>0.23</v>
      </c>
      <c r="G15" s="1" t="s">
        <v>173</v>
      </c>
      <c r="H15" s="1" t="s">
        <v>197</v>
      </c>
      <c r="I15" s="1" t="s">
        <v>195</v>
      </c>
      <c r="J15" s="1" t="s">
        <v>186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</row>
    <row r="16">
      <c r="A16" s="1">
        <v>15.0</v>
      </c>
      <c r="B16" s="1" t="s">
        <v>113</v>
      </c>
      <c r="C16" s="1">
        <v>1.0</v>
      </c>
      <c r="D16" s="1">
        <v>0.0</v>
      </c>
      <c r="E16" s="1">
        <v>0.0</v>
      </c>
      <c r="F16" s="1">
        <v>0.0</v>
      </c>
      <c r="G16" s="1" t="s">
        <v>196</v>
      </c>
      <c r="H16" s="1" t="s">
        <v>195</v>
      </c>
      <c r="I16" s="1" t="s">
        <v>199</v>
      </c>
      <c r="J16" s="1" t="s">
        <v>172</v>
      </c>
      <c r="K16" s="1">
        <v>1.0</v>
      </c>
      <c r="L16" s="1">
        <v>0.0</v>
      </c>
      <c r="M16" s="1">
        <v>1.0</v>
      </c>
      <c r="N16" s="1">
        <v>0.0</v>
      </c>
      <c r="O16" s="1">
        <v>0.0</v>
      </c>
      <c r="P16" s="1">
        <v>0.0</v>
      </c>
      <c r="Q16" s="1">
        <v>0.0</v>
      </c>
    </row>
  </sheetData>
  <drawing r:id="rId1"/>
</worksheet>
</file>